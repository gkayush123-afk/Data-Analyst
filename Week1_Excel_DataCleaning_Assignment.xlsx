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Cleaned Data" sheetId="2" state="visible" r:id="rId4"/>
    <sheet name="Pivot - Region Sales" sheetId="3" state="visible" r:id="rId5"/>
    <sheet name="Statistics" sheetId="4" state="visible" r:id="rId6"/>
    <sheet name="Top 10 Highlighted" sheetId="5" state="visible" r:id="rId7"/>
    <sheet name="Category Revenue Chart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<sst xmlns="http://schemas.openxmlformats.org/spreadsheetml/2006/main" count="693" uniqueCount="46">
  <si>
    <t xml:space="preserve">Order ID</t>
  </si>
  <si>
    <t xml:space="preserve">Order Date</t>
  </si>
  <si>
    <t xml:space="preserve">Region</t>
  </si>
  <si>
    <t xml:space="preserve">Category</t>
  </si>
  <si>
    <t xml:space="preserve">Sub-Category</t>
  </si>
  <si>
    <t xml:space="preserve">Sales</t>
  </si>
  <si>
    <t xml:space="preserve">West</t>
  </si>
  <si>
    <t xml:space="preserve">Furniture</t>
  </si>
  <si>
    <t xml:space="preserve">Chairs</t>
  </si>
  <si>
    <t xml:space="preserve">East</t>
  </si>
  <si>
    <t xml:space="preserve">Bookcases</t>
  </si>
  <si>
    <t xml:space="preserve">South</t>
  </si>
  <si>
    <t xml:space="preserve">Clothing</t>
  </si>
  <si>
    <t xml:space="preserve">Shoes</t>
  </si>
  <si>
    <t xml:space="preserve">North</t>
  </si>
  <si>
    <t xml:space="preserve">Office Supplies</t>
  </si>
  <si>
    <t xml:space="preserve">Storage</t>
  </si>
  <si>
    <t xml:space="preserve">Binders</t>
  </si>
  <si>
    <t xml:space="preserve">Shirts</t>
  </si>
  <si>
    <t xml:space="preserve">Paper</t>
  </si>
  <si>
    <t xml:space="preserve">Technology</t>
  </si>
  <si>
    <t xml:space="preserve">Copiers</t>
  </si>
  <si>
    <t xml:space="preserve">Jackets</t>
  </si>
  <si>
    <t xml:space="preserve">Phones</t>
  </si>
  <si>
    <t xml:space="preserve">Tables</t>
  </si>
  <si>
    <t xml:space="preserve">Accessories</t>
  </si>
  <si>
    <t xml:space="preserve">Task 1: Remove duplicates and handle missing values</t>
  </si>
  <si>
    <t xml:space="preserve">Missing Sales values are filled with the category average (see Notes).</t>
  </si>
  <si>
    <t xml:space="preserve">Notes:</t>
  </si>
  <si>
    <t xml:space="preserve">Raw Data had 75 rows including 5 exact duplicate rows, now removed.</t>
  </si>
  <si>
    <t xml:space="preserve">Missing Sales values were imputed with AVERAGEIFS() by Category from Raw Data.</t>
  </si>
  <si>
    <t xml:space="preserve">Task 2: Region-wise Sales (Pivot Table summary)</t>
  </si>
  <si>
    <t xml:space="preserve">Total Sales</t>
  </si>
  <si>
    <t xml:space="preserve">Order Count</t>
  </si>
  <si>
    <t xml:space="preserve">Average Sale</t>
  </si>
  <si>
    <t xml:space="preserve">Grand Total</t>
  </si>
  <si>
    <t xml:space="preserve">Task 3: Mean, Median, Mode of Sales (Cleaned Data)</t>
  </si>
  <si>
    <t xml:space="preserve">Metric</t>
  </si>
  <si>
    <t xml:space="preserve">Formula Used</t>
  </si>
  <si>
    <t xml:space="preserve">Value</t>
  </si>
  <si>
    <t xml:space="preserve">Mean (Average)</t>
  </si>
  <si>
    <t xml:space="preserve">Median</t>
  </si>
  <si>
    <t xml:space="preserve">Mode</t>
  </si>
  <si>
    <t xml:space="preserve">Task 4: Conditional formatting - Top 10 Sales highlighted</t>
  </si>
  <si>
    <t xml:space="preserve">Task 5: Bar chart - Category-wise revenue</t>
  </si>
  <si>
    <t xml:space="preserve">Total Revenue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</si>
</sst>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\$#,##0.00"/>
    <numFmt numFmtId="167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78787"/>
      <rgbColor rgb="FF9999FF"/>
      <rgbColor rgb="FF993366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Category-wise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'Category Revenue Chart'!B3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'Category Revenue Chart'!$A$4:$A$7</c:f>
              <c:strCache>
                <c:ptCount val="4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  <c:pt idx="3">
                  <c:v>Clothing</c:v>
                </c:pt>
              </c:strCache>
            </c:strRef>
          </c:cat>
          <c:val>
            <c:numRef>
              <c:f>'Category Revenue Chart'!$B$4:$B$7</c:f>
              <c:numCache>
                <c:formatCode>\$#,##0.00</c:formatCode>
                <c:ptCount val="4"/>
                <c:pt idx="0">
                  <c:v>24218.2364285714</c:v>
                </c:pt>
                <c:pt idx="1">
                  <c:v>34811.78</c:v>
                </c:pt>
                <c:pt idx="2">
                  <c:v>17537.55</c:v>
                </c:pt>
                <c:pt idx="3">
                  <c:v>22370.482</c:v>
                </c:pt>
              </c:numCache>
            </c:numRef>
          </c:val>
        </c:ser>
        <c:gapWidth val="150"/>
        <c:overlap val="0"/>
        <c:axId val="68909307"/>
        <c:axId val="58751232"/>
      </c:barChart>
      <c:catAx>
        <c:axId val="6890930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751232"/>
        <c:crosses val="autoZero"/>
        <c:auto val="1"/>
        <c:lblAlgn val="ctr"/>
        <c:lblOffset val="100"/>
        <c:noMultiLvlLbl val="0"/>
      </c:catAx>
      <c:valAx>
        <c:axId val="587512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90930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2</xdr:row>
      <xdr:rowOff>0</xdr:rowOff>
    </xdr:from>
    <xdr:to>
      <xdr:col>12</xdr:col>
      <xdr:colOff>256320</xdr:colOff>
      <xdr:row>19</xdr:row>
      <xdr:rowOff>1080</xdr:rowOff>
    </xdr:to>
    <xdr:graphicFrame>
      <xdr:nvGraphicFramePr>
        <xdr:cNvPr id="0" name="Chart 1"/>
        <xdr:cNvGraphicFramePr/>
      </xdr:nvGraphicFramePr>
      <xdr:xfrm>
        <a:off x="3008160" y="3808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n">
        <v>1039</v>
      </c>
      <c r="B2" s="3" t="n">
        <v>45646</v>
      </c>
      <c r="C2" s="2" t="s">
        <v>6</v>
      </c>
      <c r="D2" s="2" t="s">
        <v>7</v>
      </c>
      <c r="E2" s="2" t="s">
        <v>8</v>
      </c>
      <c r="F2" s="4" t="n">
        <v>2855.41</v>
      </c>
    </row>
    <row r="3" customFormat="false" ht="15" hidden="false" customHeight="false" outlineLevel="0" collapsed="false">
      <c r="A3" s="2" t="n">
        <v>1057</v>
      </c>
      <c r="B3" s="3" t="n">
        <v>45302</v>
      </c>
      <c r="C3" s="2" t="s">
        <v>9</v>
      </c>
      <c r="D3" s="2" t="s">
        <v>7</v>
      </c>
      <c r="E3" s="2" t="s">
        <v>10</v>
      </c>
      <c r="F3" s="4"/>
    </row>
    <row r="4" customFormat="false" ht="15" hidden="false" customHeight="false" outlineLevel="0" collapsed="false">
      <c r="A4" s="2" t="n">
        <v>1061</v>
      </c>
      <c r="B4" s="3" t="n">
        <v>45473</v>
      </c>
      <c r="C4" s="2" t="s">
        <v>11</v>
      </c>
      <c r="D4" s="2" t="s">
        <v>12</v>
      </c>
      <c r="E4" s="2" t="s">
        <v>13</v>
      </c>
      <c r="F4" s="4" t="n">
        <v>435.75</v>
      </c>
    </row>
    <row r="5" customFormat="false" ht="15" hidden="false" customHeight="false" outlineLevel="0" collapsed="false">
      <c r="A5" s="2" t="n">
        <v>1034</v>
      </c>
      <c r="B5" s="3" t="n">
        <v>45343</v>
      </c>
      <c r="C5" s="2" t="s">
        <v>14</v>
      </c>
      <c r="D5" s="2" t="s">
        <v>7</v>
      </c>
      <c r="E5" s="2" t="s">
        <v>8</v>
      </c>
      <c r="F5" s="4" t="n">
        <v>2629.28</v>
      </c>
    </row>
    <row r="6" customFormat="false" ht="15" hidden="false" customHeight="false" outlineLevel="0" collapsed="false">
      <c r="A6" s="2" t="n">
        <v>1056</v>
      </c>
      <c r="B6" s="3" t="n">
        <v>45534</v>
      </c>
      <c r="C6" s="2" t="s">
        <v>14</v>
      </c>
      <c r="D6" s="2" t="s">
        <v>15</v>
      </c>
      <c r="E6" s="2" t="s">
        <v>16</v>
      </c>
      <c r="F6" s="4" t="n">
        <v>1667.44</v>
      </c>
    </row>
    <row r="7" customFormat="false" ht="15" hidden="false" customHeight="false" outlineLevel="0" collapsed="false">
      <c r="A7" s="2" t="n">
        <v>1055</v>
      </c>
      <c r="B7" s="3" t="n">
        <v>45594</v>
      </c>
      <c r="C7" s="2" t="s">
        <v>11</v>
      </c>
      <c r="D7" s="2" t="s">
        <v>15</v>
      </c>
      <c r="E7" s="2" t="s">
        <v>16</v>
      </c>
      <c r="F7" s="4" t="n">
        <v>2488.21</v>
      </c>
    </row>
    <row r="8" customFormat="false" ht="15" hidden="false" customHeight="false" outlineLevel="0" collapsed="false">
      <c r="A8" s="2" t="n">
        <v>1054</v>
      </c>
      <c r="B8" s="3" t="n">
        <v>45335</v>
      </c>
      <c r="C8" s="2" t="s">
        <v>6</v>
      </c>
      <c r="D8" s="2" t="s">
        <v>15</v>
      </c>
      <c r="E8" s="2" t="s">
        <v>17</v>
      </c>
      <c r="F8" s="4" t="n">
        <v>131.27</v>
      </c>
    </row>
    <row r="9" customFormat="false" ht="15" hidden="false" customHeight="false" outlineLevel="0" collapsed="false">
      <c r="A9" s="2" t="n">
        <v>1066</v>
      </c>
      <c r="B9" s="3" t="n">
        <v>45389</v>
      </c>
      <c r="C9" s="2" t="s">
        <v>14</v>
      </c>
      <c r="D9" s="2" t="s">
        <v>7</v>
      </c>
      <c r="E9" s="2" t="s">
        <v>8</v>
      </c>
      <c r="F9" s="4" t="n">
        <v>1547.76</v>
      </c>
    </row>
    <row r="10" customFormat="false" ht="15" hidden="false" customHeight="false" outlineLevel="0" collapsed="false">
      <c r="A10" s="2" t="n">
        <v>1006</v>
      </c>
      <c r="B10" s="3" t="n">
        <v>45360</v>
      </c>
      <c r="C10" s="2" t="s">
        <v>14</v>
      </c>
      <c r="D10" s="2" t="s">
        <v>12</v>
      </c>
      <c r="E10" s="2" t="s">
        <v>18</v>
      </c>
      <c r="F10" s="4" t="n">
        <v>1645.02</v>
      </c>
    </row>
    <row r="11" customFormat="false" ht="15" hidden="false" customHeight="false" outlineLevel="0" collapsed="false">
      <c r="A11" s="2" t="n">
        <v>1049</v>
      </c>
      <c r="B11" s="3" t="n">
        <v>45392</v>
      </c>
      <c r="C11" s="2" t="s">
        <v>14</v>
      </c>
      <c r="D11" s="2" t="s">
        <v>15</v>
      </c>
      <c r="E11" s="2" t="s">
        <v>19</v>
      </c>
      <c r="F11" s="4" t="n">
        <v>1891</v>
      </c>
    </row>
    <row r="12" customFormat="false" ht="15" hidden="false" customHeight="false" outlineLevel="0" collapsed="false">
      <c r="A12" s="2" t="n">
        <v>1000</v>
      </c>
      <c r="B12" s="3" t="n">
        <v>45457</v>
      </c>
      <c r="C12" s="2" t="s">
        <v>6</v>
      </c>
      <c r="D12" s="2" t="s">
        <v>12</v>
      </c>
      <c r="E12" s="2" t="s">
        <v>13</v>
      </c>
      <c r="F12" s="4" t="n">
        <v>192.44</v>
      </c>
    </row>
    <row r="13" customFormat="false" ht="15" hidden="false" customHeight="false" outlineLevel="0" collapsed="false">
      <c r="A13" s="2" t="n">
        <v>1016</v>
      </c>
      <c r="B13" s="3" t="n">
        <v>45577</v>
      </c>
      <c r="C13" s="2" t="s">
        <v>14</v>
      </c>
      <c r="D13" s="2" t="s">
        <v>20</v>
      </c>
      <c r="E13" s="2" t="s">
        <v>21</v>
      </c>
      <c r="F13" s="4" t="n">
        <v>1083.03</v>
      </c>
    </row>
    <row r="14" customFormat="false" ht="15" hidden="false" customHeight="false" outlineLevel="0" collapsed="false">
      <c r="A14" s="2" t="n">
        <v>1044</v>
      </c>
      <c r="B14" s="3" t="n">
        <v>45391</v>
      </c>
      <c r="C14" s="2" t="s">
        <v>6</v>
      </c>
      <c r="D14" s="2" t="s">
        <v>12</v>
      </c>
      <c r="E14" s="2" t="s">
        <v>13</v>
      </c>
      <c r="F14" s="4" t="n">
        <v>2419.81</v>
      </c>
    </row>
    <row r="15" customFormat="false" ht="15" hidden="false" customHeight="false" outlineLevel="0" collapsed="false">
      <c r="A15" s="2" t="n">
        <v>1047</v>
      </c>
      <c r="B15" s="3" t="n">
        <v>45601</v>
      </c>
      <c r="C15" s="2" t="s">
        <v>14</v>
      </c>
      <c r="D15" s="2" t="s">
        <v>12</v>
      </c>
      <c r="E15" s="2" t="s">
        <v>13</v>
      </c>
      <c r="F15" s="4" t="n">
        <v>2964.71</v>
      </c>
    </row>
    <row r="16" customFormat="false" ht="15" hidden="false" customHeight="false" outlineLevel="0" collapsed="false">
      <c r="A16" s="2" t="n">
        <v>1011</v>
      </c>
      <c r="B16" s="3" t="n">
        <v>45477</v>
      </c>
      <c r="C16" s="2" t="s">
        <v>14</v>
      </c>
      <c r="D16" s="2" t="s">
        <v>15</v>
      </c>
      <c r="E16" s="2" t="s">
        <v>17</v>
      </c>
      <c r="F16" s="4" t="n">
        <v>2112.03</v>
      </c>
    </row>
    <row r="17" customFormat="false" ht="15" hidden="false" customHeight="false" outlineLevel="0" collapsed="false">
      <c r="A17" s="2" t="n">
        <v>1040</v>
      </c>
      <c r="B17" s="3" t="n">
        <v>45562</v>
      </c>
      <c r="C17" s="2" t="s">
        <v>14</v>
      </c>
      <c r="D17" s="2" t="s">
        <v>15</v>
      </c>
      <c r="E17" s="2" t="s">
        <v>16</v>
      </c>
      <c r="F17" s="4" t="n">
        <v>1652.36</v>
      </c>
    </row>
    <row r="18" customFormat="false" ht="15" hidden="false" customHeight="false" outlineLevel="0" collapsed="false">
      <c r="A18" s="2" t="n">
        <v>1069</v>
      </c>
      <c r="B18" s="3" t="n">
        <v>45536</v>
      </c>
      <c r="C18" s="2" t="s">
        <v>6</v>
      </c>
      <c r="D18" s="2" t="s">
        <v>20</v>
      </c>
      <c r="E18" s="2" t="s">
        <v>21</v>
      </c>
      <c r="F18" s="4" t="n">
        <v>2683.63</v>
      </c>
    </row>
    <row r="19" customFormat="false" ht="15" hidden="false" customHeight="false" outlineLevel="0" collapsed="false">
      <c r="A19" s="2" t="n">
        <v>1048</v>
      </c>
      <c r="B19" s="3" t="n">
        <v>45478</v>
      </c>
      <c r="C19" s="2" t="s">
        <v>9</v>
      </c>
      <c r="D19" s="2" t="s">
        <v>15</v>
      </c>
      <c r="E19" s="2" t="s">
        <v>17</v>
      </c>
      <c r="F19" s="4" t="n">
        <v>719.2</v>
      </c>
    </row>
    <row r="20" customFormat="false" ht="15" hidden="false" customHeight="false" outlineLevel="0" collapsed="false">
      <c r="A20" s="2" t="n">
        <v>1036</v>
      </c>
      <c r="B20" s="3" t="n">
        <v>45469</v>
      </c>
      <c r="C20" s="2" t="s">
        <v>14</v>
      </c>
      <c r="D20" s="2" t="s">
        <v>12</v>
      </c>
      <c r="E20" s="2" t="s">
        <v>18</v>
      </c>
      <c r="F20" s="4" t="n">
        <v>390.29</v>
      </c>
    </row>
    <row r="21" customFormat="false" ht="15" hidden="false" customHeight="false" outlineLevel="0" collapsed="false">
      <c r="A21" s="2" t="n">
        <v>1013</v>
      </c>
      <c r="B21" s="3" t="n">
        <v>45467</v>
      </c>
      <c r="C21" s="2" t="s">
        <v>11</v>
      </c>
      <c r="D21" s="2" t="s">
        <v>20</v>
      </c>
      <c r="E21" s="2" t="s">
        <v>21</v>
      </c>
      <c r="F21" s="4" t="n">
        <v>2941.52</v>
      </c>
    </row>
    <row r="22" customFormat="false" ht="15" hidden="false" customHeight="false" outlineLevel="0" collapsed="false">
      <c r="A22" s="2" t="n">
        <v>1041</v>
      </c>
      <c r="B22" s="3" t="n">
        <v>45305</v>
      </c>
      <c r="C22" s="2" t="s">
        <v>14</v>
      </c>
      <c r="D22" s="2" t="s">
        <v>7</v>
      </c>
      <c r="E22" s="2" t="s">
        <v>10</v>
      </c>
      <c r="F22" s="4" t="n">
        <v>2544.07</v>
      </c>
    </row>
    <row r="23" customFormat="false" ht="15" hidden="false" customHeight="false" outlineLevel="0" collapsed="false">
      <c r="A23" s="2" t="n">
        <v>1037</v>
      </c>
      <c r="B23" s="3" t="n">
        <v>45541</v>
      </c>
      <c r="C23" s="2" t="s">
        <v>11</v>
      </c>
      <c r="D23" s="2" t="s">
        <v>12</v>
      </c>
      <c r="E23" s="2" t="s">
        <v>22</v>
      </c>
      <c r="F23" s="4" t="n">
        <v>969.96</v>
      </c>
    </row>
    <row r="24" customFormat="false" ht="15" hidden="false" customHeight="false" outlineLevel="0" collapsed="false">
      <c r="A24" s="2" t="n">
        <v>1054</v>
      </c>
      <c r="B24" s="3" t="n">
        <v>45335</v>
      </c>
      <c r="C24" s="2" t="s">
        <v>6</v>
      </c>
      <c r="D24" s="2" t="s">
        <v>15</v>
      </c>
      <c r="E24" s="2" t="s">
        <v>17</v>
      </c>
      <c r="F24" s="4" t="n">
        <v>131.27</v>
      </c>
    </row>
    <row r="25" customFormat="false" ht="15" hidden="false" customHeight="false" outlineLevel="0" collapsed="false">
      <c r="A25" s="2" t="n">
        <v>1009</v>
      </c>
      <c r="B25" s="3" t="n">
        <v>45324</v>
      </c>
      <c r="C25" s="2" t="s">
        <v>9</v>
      </c>
      <c r="D25" s="2" t="s">
        <v>15</v>
      </c>
      <c r="E25" s="2" t="s">
        <v>19</v>
      </c>
      <c r="F25" s="4" t="n">
        <v>2057.18</v>
      </c>
    </row>
    <row r="26" customFormat="false" ht="15" hidden="false" customHeight="false" outlineLevel="0" collapsed="false">
      <c r="A26" s="2" t="n">
        <v>1030</v>
      </c>
      <c r="B26" s="3" t="n">
        <v>45492</v>
      </c>
      <c r="C26" s="2" t="s">
        <v>11</v>
      </c>
      <c r="D26" s="2" t="s">
        <v>12</v>
      </c>
      <c r="E26" s="2" t="s">
        <v>22</v>
      </c>
      <c r="F26" s="4" t="n">
        <v>355.43</v>
      </c>
    </row>
    <row r="27" customFormat="false" ht="15" hidden="false" customHeight="false" outlineLevel="0" collapsed="false">
      <c r="A27" s="2" t="n">
        <v>1008</v>
      </c>
      <c r="B27" s="3" t="n">
        <v>45619</v>
      </c>
      <c r="C27" s="2" t="s">
        <v>6</v>
      </c>
      <c r="D27" s="2" t="s">
        <v>20</v>
      </c>
      <c r="E27" s="2" t="s">
        <v>23</v>
      </c>
      <c r="F27" s="4" t="n">
        <v>1665.85</v>
      </c>
    </row>
    <row r="28" customFormat="false" ht="15" hidden="false" customHeight="false" outlineLevel="0" collapsed="false">
      <c r="A28" s="2" t="n">
        <v>1002</v>
      </c>
      <c r="B28" s="3" t="n">
        <v>45551</v>
      </c>
      <c r="C28" s="2" t="s">
        <v>6</v>
      </c>
      <c r="D28" s="2" t="s">
        <v>7</v>
      </c>
      <c r="E28" s="2" t="s">
        <v>8</v>
      </c>
      <c r="F28" s="4" t="n">
        <v>1329.25</v>
      </c>
    </row>
    <row r="29" customFormat="false" ht="15" hidden="false" customHeight="false" outlineLevel="0" collapsed="false">
      <c r="A29" s="2" t="n">
        <v>1003</v>
      </c>
      <c r="B29" s="3" t="n">
        <v>45327</v>
      </c>
      <c r="C29" s="2" t="s">
        <v>6</v>
      </c>
      <c r="D29" s="2" t="s">
        <v>7</v>
      </c>
      <c r="E29" s="2" t="s">
        <v>10</v>
      </c>
      <c r="F29" s="4" t="n">
        <v>1302.33</v>
      </c>
    </row>
    <row r="30" customFormat="false" ht="15" hidden="false" customHeight="false" outlineLevel="0" collapsed="false">
      <c r="A30" s="2" t="n">
        <v>1060</v>
      </c>
      <c r="B30" s="3" t="n">
        <v>45570</v>
      </c>
      <c r="C30" s="2" t="s">
        <v>11</v>
      </c>
      <c r="D30" s="2" t="s">
        <v>15</v>
      </c>
      <c r="E30" s="2" t="s">
        <v>17</v>
      </c>
      <c r="F30" s="4" t="n">
        <v>2734.55</v>
      </c>
    </row>
    <row r="31" customFormat="false" ht="15" hidden="false" customHeight="false" outlineLevel="0" collapsed="false">
      <c r="A31" s="2" t="n">
        <v>1051</v>
      </c>
      <c r="B31" s="3" t="n">
        <v>45621</v>
      </c>
      <c r="C31" s="2" t="s">
        <v>9</v>
      </c>
      <c r="D31" s="2" t="s">
        <v>7</v>
      </c>
      <c r="E31" s="2" t="s">
        <v>24</v>
      </c>
      <c r="F31" s="4" t="n">
        <v>2357.79</v>
      </c>
    </row>
    <row r="32" customFormat="false" ht="15" hidden="false" customHeight="false" outlineLevel="0" collapsed="false">
      <c r="A32" s="2" t="n">
        <v>1040</v>
      </c>
      <c r="B32" s="3" t="n">
        <v>45562</v>
      </c>
      <c r="C32" s="2" t="s">
        <v>14</v>
      </c>
      <c r="D32" s="2" t="s">
        <v>15</v>
      </c>
      <c r="E32" s="2" t="s">
        <v>16</v>
      </c>
      <c r="F32" s="4" t="n">
        <v>1652.36</v>
      </c>
    </row>
    <row r="33" customFormat="false" ht="15" hidden="false" customHeight="false" outlineLevel="0" collapsed="false">
      <c r="A33" s="2" t="n">
        <v>1007</v>
      </c>
      <c r="B33" s="3" t="n">
        <v>45584</v>
      </c>
      <c r="C33" s="2" t="s">
        <v>14</v>
      </c>
      <c r="D33" s="2" t="s">
        <v>15</v>
      </c>
      <c r="E33" s="2" t="s">
        <v>17</v>
      </c>
      <c r="F33" s="4" t="n">
        <v>1765.72</v>
      </c>
    </row>
    <row r="34" customFormat="false" ht="15" hidden="false" customHeight="false" outlineLevel="0" collapsed="false">
      <c r="A34" s="2" t="n">
        <v>1004</v>
      </c>
      <c r="B34" s="3" t="n">
        <v>45581</v>
      </c>
      <c r="C34" s="2" t="s">
        <v>9</v>
      </c>
      <c r="D34" s="2" t="s">
        <v>15</v>
      </c>
      <c r="E34" s="2" t="s">
        <v>16</v>
      </c>
      <c r="F34" s="4" t="n">
        <v>1900.93</v>
      </c>
    </row>
    <row r="35" customFormat="false" ht="15" hidden="false" customHeight="false" outlineLevel="0" collapsed="false">
      <c r="A35" s="2" t="n">
        <v>1052</v>
      </c>
      <c r="B35" s="3" t="n">
        <v>45394</v>
      </c>
      <c r="C35" s="2" t="s">
        <v>11</v>
      </c>
      <c r="D35" s="2" t="s">
        <v>15</v>
      </c>
      <c r="E35" s="2" t="s">
        <v>19</v>
      </c>
      <c r="F35" s="4" t="n">
        <v>2377.95</v>
      </c>
    </row>
    <row r="36" customFormat="false" ht="15" hidden="false" customHeight="false" outlineLevel="0" collapsed="false">
      <c r="A36" s="2" t="n">
        <v>1068</v>
      </c>
      <c r="B36" s="3" t="n">
        <v>45550</v>
      </c>
      <c r="C36" s="2" t="s">
        <v>6</v>
      </c>
      <c r="D36" s="2" t="s">
        <v>20</v>
      </c>
      <c r="E36" s="2" t="s">
        <v>25</v>
      </c>
      <c r="F36" s="4" t="n">
        <v>1549.06</v>
      </c>
    </row>
    <row r="37" customFormat="false" ht="15" hidden="false" customHeight="false" outlineLevel="0" collapsed="false">
      <c r="A37" s="2" t="n">
        <v>1033</v>
      </c>
      <c r="B37" s="3" t="n">
        <v>45318</v>
      </c>
      <c r="C37" s="2" t="s">
        <v>9</v>
      </c>
      <c r="D37" s="2" t="s">
        <v>7</v>
      </c>
      <c r="E37" s="2" t="s">
        <v>10</v>
      </c>
      <c r="F37" s="4" t="n">
        <v>496.23</v>
      </c>
    </row>
    <row r="38" customFormat="false" ht="15" hidden="false" customHeight="false" outlineLevel="0" collapsed="false">
      <c r="A38" s="2" t="n">
        <v>1058</v>
      </c>
      <c r="B38" s="3" t="n">
        <v>45363</v>
      </c>
      <c r="C38" s="2" t="s">
        <v>11</v>
      </c>
      <c r="D38" s="2" t="s">
        <v>15</v>
      </c>
      <c r="E38" s="2" t="s">
        <v>17</v>
      </c>
      <c r="F38" s="4" t="n">
        <v>132.58</v>
      </c>
    </row>
    <row r="39" customFormat="false" ht="15" hidden="false" customHeight="false" outlineLevel="0" collapsed="false">
      <c r="A39" s="2" t="n">
        <v>1024</v>
      </c>
      <c r="B39" s="3" t="n">
        <v>45434</v>
      </c>
      <c r="C39" s="2" t="s">
        <v>6</v>
      </c>
      <c r="D39" s="2" t="s">
        <v>12</v>
      </c>
      <c r="E39" s="2" t="s">
        <v>13</v>
      </c>
      <c r="F39" s="4" t="n">
        <v>871.34</v>
      </c>
    </row>
    <row r="40" customFormat="false" ht="15" hidden="false" customHeight="false" outlineLevel="0" collapsed="false">
      <c r="A40" s="2" t="n">
        <v>1043</v>
      </c>
      <c r="B40" s="3" t="n">
        <v>45564</v>
      </c>
      <c r="C40" s="2" t="s">
        <v>14</v>
      </c>
      <c r="D40" s="2" t="s">
        <v>15</v>
      </c>
      <c r="E40" s="2" t="s">
        <v>16</v>
      </c>
      <c r="F40" s="4" t="n">
        <v>2443.96</v>
      </c>
    </row>
    <row r="41" customFormat="false" ht="15" hidden="false" customHeight="false" outlineLevel="0" collapsed="false">
      <c r="A41" s="2" t="n">
        <v>1064</v>
      </c>
      <c r="B41" s="3" t="n">
        <v>45353</v>
      </c>
      <c r="C41" s="2" t="s">
        <v>9</v>
      </c>
      <c r="D41" s="2" t="s">
        <v>20</v>
      </c>
      <c r="E41" s="2" t="s">
        <v>21</v>
      </c>
      <c r="F41" s="4" t="n">
        <v>1579.13</v>
      </c>
    </row>
    <row r="42" customFormat="false" ht="15" hidden="false" customHeight="false" outlineLevel="0" collapsed="false">
      <c r="A42" s="2" t="n">
        <v>1029</v>
      </c>
      <c r="B42" s="3" t="n">
        <v>45555</v>
      </c>
      <c r="C42" s="2" t="s">
        <v>9</v>
      </c>
      <c r="D42" s="2" t="s">
        <v>12</v>
      </c>
      <c r="E42" s="2" t="s">
        <v>13</v>
      </c>
      <c r="F42" s="4" t="n">
        <v>2403.73</v>
      </c>
    </row>
    <row r="43" customFormat="false" ht="15" hidden="false" customHeight="false" outlineLevel="0" collapsed="false">
      <c r="A43" s="2" t="n">
        <v>1035</v>
      </c>
      <c r="B43" s="3" t="n">
        <v>45606</v>
      </c>
      <c r="C43" s="2" t="s">
        <v>11</v>
      </c>
      <c r="D43" s="2" t="s">
        <v>15</v>
      </c>
      <c r="E43" s="2" t="s">
        <v>16</v>
      </c>
      <c r="F43" s="4" t="n">
        <v>794.16</v>
      </c>
    </row>
    <row r="44" customFormat="false" ht="15" hidden="false" customHeight="false" outlineLevel="0" collapsed="false">
      <c r="A44" s="2" t="n">
        <v>1050</v>
      </c>
      <c r="B44" s="3" t="n">
        <v>45604</v>
      </c>
      <c r="C44" s="2" t="s">
        <v>9</v>
      </c>
      <c r="D44" s="2" t="s">
        <v>12</v>
      </c>
      <c r="E44" s="2" t="s">
        <v>13</v>
      </c>
      <c r="F44" s="4"/>
    </row>
    <row r="45" customFormat="false" ht="15" hidden="false" customHeight="false" outlineLevel="0" collapsed="false">
      <c r="A45" s="2" t="n">
        <v>1001</v>
      </c>
      <c r="B45" s="3" t="n">
        <v>45566</v>
      </c>
      <c r="C45" s="2" t="s">
        <v>9</v>
      </c>
      <c r="D45" s="2" t="s">
        <v>20</v>
      </c>
      <c r="E45" s="2" t="s">
        <v>21</v>
      </c>
      <c r="F45" s="4" t="n">
        <v>221.1</v>
      </c>
    </row>
    <row r="46" customFormat="false" ht="15" hidden="false" customHeight="false" outlineLevel="0" collapsed="false">
      <c r="A46" s="2" t="n">
        <v>1023</v>
      </c>
      <c r="B46" s="3" t="n">
        <v>45546</v>
      </c>
      <c r="C46" s="2" t="s">
        <v>9</v>
      </c>
      <c r="D46" s="2" t="s">
        <v>15</v>
      </c>
      <c r="E46" s="2" t="s">
        <v>19</v>
      </c>
      <c r="F46" s="4" t="n">
        <v>1234.85</v>
      </c>
    </row>
    <row r="47" customFormat="false" ht="15" hidden="false" customHeight="false" outlineLevel="0" collapsed="false">
      <c r="A47" s="2" t="n">
        <v>1005</v>
      </c>
      <c r="B47" s="3" t="n">
        <v>45323</v>
      </c>
      <c r="C47" s="2" t="s">
        <v>11</v>
      </c>
      <c r="D47" s="2" t="s">
        <v>7</v>
      </c>
      <c r="E47" s="2" t="s">
        <v>8</v>
      </c>
      <c r="F47" s="4" t="n">
        <v>187.42</v>
      </c>
    </row>
    <row r="48" customFormat="false" ht="15" hidden="false" customHeight="false" outlineLevel="0" collapsed="false">
      <c r="A48" s="2" t="n">
        <v>1020</v>
      </c>
      <c r="B48" s="3" t="n">
        <v>45634</v>
      </c>
      <c r="C48" s="2" t="s">
        <v>14</v>
      </c>
      <c r="D48" s="2" t="s">
        <v>7</v>
      </c>
      <c r="E48" s="2" t="s">
        <v>24</v>
      </c>
      <c r="F48" s="4" t="n">
        <v>1098.62</v>
      </c>
    </row>
    <row r="49" customFormat="false" ht="15" hidden="false" customHeight="false" outlineLevel="0" collapsed="false">
      <c r="A49" s="2" t="n">
        <v>1022</v>
      </c>
      <c r="B49" s="3" t="n">
        <v>45439</v>
      </c>
      <c r="C49" s="2" t="s">
        <v>6</v>
      </c>
      <c r="D49" s="2" t="s">
        <v>15</v>
      </c>
      <c r="E49" s="2" t="s">
        <v>19</v>
      </c>
      <c r="F49" s="4" t="n">
        <v>1203.3</v>
      </c>
    </row>
    <row r="50" customFormat="false" ht="15" hidden="false" customHeight="false" outlineLevel="0" collapsed="false">
      <c r="A50" s="2" t="n">
        <v>1063</v>
      </c>
      <c r="B50" s="3" t="n">
        <v>45368</v>
      </c>
      <c r="C50" s="2" t="s">
        <v>6</v>
      </c>
      <c r="D50" s="2" t="s">
        <v>15</v>
      </c>
      <c r="E50" s="2" t="s">
        <v>19</v>
      </c>
      <c r="F50" s="4" t="n">
        <v>1876.35</v>
      </c>
    </row>
    <row r="51" customFormat="false" ht="15" hidden="false" customHeight="false" outlineLevel="0" collapsed="false">
      <c r="A51" s="2" t="n">
        <v>1026</v>
      </c>
      <c r="B51" s="3" t="n">
        <v>45382</v>
      </c>
      <c r="C51" s="2" t="s">
        <v>6</v>
      </c>
      <c r="D51" s="2" t="s">
        <v>15</v>
      </c>
      <c r="E51" s="2" t="s">
        <v>16</v>
      </c>
      <c r="F51" s="4" t="n">
        <v>738.34</v>
      </c>
    </row>
    <row r="52" customFormat="false" ht="15" hidden="false" customHeight="false" outlineLevel="0" collapsed="false">
      <c r="A52" s="2" t="n">
        <v>1021</v>
      </c>
      <c r="B52" s="3" t="n">
        <v>45604</v>
      </c>
      <c r="C52" s="2" t="s">
        <v>9</v>
      </c>
      <c r="D52" s="2" t="s">
        <v>12</v>
      </c>
      <c r="E52" s="2" t="s">
        <v>18</v>
      </c>
      <c r="F52" s="4" t="n">
        <v>693.71</v>
      </c>
    </row>
    <row r="53" customFormat="false" ht="15" hidden="false" customHeight="false" outlineLevel="0" collapsed="false">
      <c r="A53" s="2" t="n">
        <v>1062</v>
      </c>
      <c r="B53" s="3" t="n">
        <v>45369</v>
      </c>
      <c r="C53" s="2" t="s">
        <v>9</v>
      </c>
      <c r="D53" s="2" t="s">
        <v>12</v>
      </c>
      <c r="E53" s="2" t="s">
        <v>18</v>
      </c>
      <c r="F53" s="4" t="n">
        <v>1845.24</v>
      </c>
    </row>
    <row r="54" customFormat="false" ht="15" hidden="false" customHeight="false" outlineLevel="0" collapsed="false">
      <c r="A54" s="2" t="n">
        <v>1067</v>
      </c>
      <c r="B54" s="3" t="n">
        <v>45579</v>
      </c>
      <c r="C54" s="2" t="s">
        <v>9</v>
      </c>
      <c r="D54" s="2" t="s">
        <v>7</v>
      </c>
      <c r="E54" s="2" t="s">
        <v>24</v>
      </c>
      <c r="F54" s="4" t="n">
        <v>1010.56</v>
      </c>
    </row>
    <row r="55" customFormat="false" ht="15" hidden="false" customHeight="false" outlineLevel="0" collapsed="false">
      <c r="A55" s="2" t="n">
        <v>1030</v>
      </c>
      <c r="B55" s="3" t="n">
        <v>45492</v>
      </c>
      <c r="C55" s="2" t="s">
        <v>11</v>
      </c>
      <c r="D55" s="2" t="s">
        <v>12</v>
      </c>
      <c r="E55" s="2" t="s">
        <v>22</v>
      </c>
      <c r="F55" s="4" t="n">
        <v>355.43</v>
      </c>
    </row>
    <row r="56" customFormat="false" ht="15" hidden="false" customHeight="false" outlineLevel="0" collapsed="false">
      <c r="A56" s="2" t="n">
        <v>1045</v>
      </c>
      <c r="B56" s="3" t="n">
        <v>45394</v>
      </c>
      <c r="C56" s="2" t="s">
        <v>11</v>
      </c>
      <c r="D56" s="2" t="s">
        <v>20</v>
      </c>
      <c r="E56" s="2" t="s">
        <v>21</v>
      </c>
      <c r="F56" s="4" t="n">
        <v>135.49</v>
      </c>
    </row>
    <row r="57" customFormat="false" ht="15" hidden="false" customHeight="false" outlineLevel="0" collapsed="false">
      <c r="A57" s="2" t="n">
        <v>1065</v>
      </c>
      <c r="B57" s="3" t="n">
        <v>45576</v>
      </c>
      <c r="C57" s="2" t="s">
        <v>11</v>
      </c>
      <c r="D57" s="2" t="s">
        <v>7</v>
      </c>
      <c r="E57" s="2" t="s">
        <v>10</v>
      </c>
      <c r="F57" s="4" t="n">
        <v>217.63</v>
      </c>
    </row>
    <row r="58" customFormat="false" ht="15" hidden="false" customHeight="false" outlineLevel="0" collapsed="false">
      <c r="A58" s="2" t="n">
        <v>1014</v>
      </c>
      <c r="B58" s="3" t="n">
        <v>45352</v>
      </c>
      <c r="C58" s="2" t="s">
        <v>11</v>
      </c>
      <c r="D58" s="2" t="s">
        <v>15</v>
      </c>
      <c r="E58" s="2" t="s">
        <v>19</v>
      </c>
      <c r="F58" s="4" t="n">
        <v>498.35</v>
      </c>
    </row>
    <row r="59" customFormat="false" ht="15" hidden="false" customHeight="false" outlineLevel="0" collapsed="false">
      <c r="A59" s="2" t="n">
        <v>1053</v>
      </c>
      <c r="B59" s="3" t="n">
        <v>45462</v>
      </c>
      <c r="C59" s="2" t="s">
        <v>9</v>
      </c>
      <c r="D59" s="2" t="s">
        <v>12</v>
      </c>
      <c r="E59" s="2" t="s">
        <v>22</v>
      </c>
      <c r="F59" s="4"/>
    </row>
    <row r="60" customFormat="false" ht="15" hidden="false" customHeight="false" outlineLevel="0" collapsed="false">
      <c r="A60" s="2" t="n">
        <v>1042</v>
      </c>
      <c r="B60" s="3" t="n">
        <v>45557</v>
      </c>
      <c r="C60" s="2" t="s">
        <v>14</v>
      </c>
      <c r="D60" s="2" t="s">
        <v>15</v>
      </c>
      <c r="E60" s="2" t="s">
        <v>19</v>
      </c>
      <c r="F60" s="4" t="n">
        <v>2327.22</v>
      </c>
    </row>
    <row r="61" customFormat="false" ht="15" hidden="false" customHeight="false" outlineLevel="0" collapsed="false">
      <c r="A61" s="2" t="n">
        <v>1010</v>
      </c>
      <c r="B61" s="3" t="n">
        <v>45510</v>
      </c>
      <c r="C61" s="2" t="s">
        <v>14</v>
      </c>
      <c r="D61" s="2" t="s">
        <v>12</v>
      </c>
      <c r="E61" s="2" t="s">
        <v>13</v>
      </c>
      <c r="F61" s="4" t="n">
        <v>2774.15</v>
      </c>
    </row>
    <row r="62" customFormat="false" ht="15" hidden="false" customHeight="false" outlineLevel="0" collapsed="false">
      <c r="A62" s="2" t="n">
        <v>1031</v>
      </c>
      <c r="B62" s="3" t="n">
        <v>45616</v>
      </c>
      <c r="C62" s="2" t="s">
        <v>11</v>
      </c>
      <c r="D62" s="2" t="s">
        <v>7</v>
      </c>
      <c r="E62" s="2" t="s">
        <v>8</v>
      </c>
      <c r="F62" s="4" t="n">
        <v>248.68</v>
      </c>
    </row>
    <row r="63" customFormat="false" ht="15" hidden="false" customHeight="false" outlineLevel="0" collapsed="false">
      <c r="A63" s="2" t="n">
        <v>1056</v>
      </c>
      <c r="B63" s="3" t="n">
        <v>45534</v>
      </c>
      <c r="C63" s="2" t="s">
        <v>14</v>
      </c>
      <c r="D63" s="2" t="s">
        <v>15</v>
      </c>
      <c r="E63" s="2" t="s">
        <v>16</v>
      </c>
      <c r="F63" s="4" t="n">
        <v>1667.44</v>
      </c>
    </row>
    <row r="64" customFormat="false" ht="15" hidden="false" customHeight="false" outlineLevel="0" collapsed="false">
      <c r="A64" s="2" t="n">
        <v>1025</v>
      </c>
      <c r="B64" s="3" t="n">
        <v>45504</v>
      </c>
      <c r="C64" s="2" t="s">
        <v>14</v>
      </c>
      <c r="D64" s="2" t="s">
        <v>12</v>
      </c>
      <c r="E64" s="2" t="s">
        <v>18</v>
      </c>
      <c r="F64" s="4"/>
    </row>
    <row r="65" customFormat="false" ht="15" hidden="false" customHeight="false" outlineLevel="0" collapsed="false">
      <c r="A65" s="2" t="n">
        <v>1012</v>
      </c>
      <c r="B65" s="3" t="n">
        <v>45416</v>
      </c>
      <c r="C65" s="2" t="s">
        <v>9</v>
      </c>
      <c r="D65" s="2" t="s">
        <v>20</v>
      </c>
      <c r="E65" s="2" t="s">
        <v>21</v>
      </c>
      <c r="F65" s="4" t="n">
        <v>1510.59</v>
      </c>
    </row>
    <row r="66" customFormat="false" ht="15" hidden="false" customHeight="false" outlineLevel="0" collapsed="false">
      <c r="A66" s="2" t="n">
        <v>1028</v>
      </c>
      <c r="B66" s="3" t="n">
        <v>45506</v>
      </c>
      <c r="C66" s="2" t="s">
        <v>14</v>
      </c>
      <c r="D66" s="2" t="s">
        <v>20</v>
      </c>
      <c r="E66" s="2" t="s">
        <v>23</v>
      </c>
      <c r="F66" s="4" t="n">
        <v>2086.96</v>
      </c>
    </row>
    <row r="67" customFormat="false" ht="15" hidden="false" customHeight="false" outlineLevel="0" collapsed="false">
      <c r="A67" s="2" t="n">
        <v>1059</v>
      </c>
      <c r="B67" s="3" t="n">
        <v>45400</v>
      </c>
      <c r="C67" s="2" t="s">
        <v>14</v>
      </c>
      <c r="D67" s="2" t="s">
        <v>15</v>
      </c>
      <c r="E67" s="2" t="s">
        <v>16</v>
      </c>
      <c r="F67" s="4" t="n">
        <v>1011.67</v>
      </c>
    </row>
    <row r="68" customFormat="false" ht="15" hidden="false" customHeight="false" outlineLevel="0" collapsed="false">
      <c r="A68" s="2" t="n">
        <v>1017</v>
      </c>
      <c r="B68" s="3" t="n">
        <v>45546</v>
      </c>
      <c r="C68" s="2" t="s">
        <v>11</v>
      </c>
      <c r="D68" s="2" t="s">
        <v>7</v>
      </c>
      <c r="E68" s="2" t="s">
        <v>8</v>
      </c>
      <c r="F68" s="4"/>
    </row>
    <row r="69" customFormat="false" ht="15" hidden="false" customHeight="false" outlineLevel="0" collapsed="false">
      <c r="A69" s="2" t="n">
        <v>1032</v>
      </c>
      <c r="B69" s="3" t="n">
        <v>45398</v>
      </c>
      <c r="C69" s="2" t="s">
        <v>11</v>
      </c>
      <c r="D69" s="2" t="s">
        <v>15</v>
      </c>
      <c r="E69" s="2" t="s">
        <v>17</v>
      </c>
      <c r="F69" s="4" t="n">
        <v>1053.16</v>
      </c>
    </row>
    <row r="70" customFormat="false" ht="15" hidden="false" customHeight="false" outlineLevel="0" collapsed="false">
      <c r="A70" s="2" t="n">
        <v>1018</v>
      </c>
      <c r="B70" s="3" t="n">
        <v>45534</v>
      </c>
      <c r="C70" s="2" t="s">
        <v>9</v>
      </c>
      <c r="D70" s="2" t="s">
        <v>7</v>
      </c>
      <c r="E70" s="2" t="s">
        <v>10</v>
      </c>
      <c r="F70" s="4" t="n">
        <v>2119.4</v>
      </c>
    </row>
    <row r="71" customFormat="false" ht="15" hidden="false" customHeight="false" outlineLevel="0" collapsed="false">
      <c r="A71" s="2" t="n">
        <v>1046</v>
      </c>
      <c r="B71" s="3" t="n">
        <v>45306</v>
      </c>
      <c r="C71" s="2" t="s">
        <v>14</v>
      </c>
      <c r="D71" s="2" t="s">
        <v>12</v>
      </c>
      <c r="E71" s="2" t="s">
        <v>22</v>
      </c>
      <c r="F71" s="4" t="n">
        <v>621.25</v>
      </c>
    </row>
    <row r="72" customFormat="false" ht="15" hidden="false" customHeight="false" outlineLevel="0" collapsed="false">
      <c r="A72" s="2" t="n">
        <v>1019</v>
      </c>
      <c r="B72" s="3" t="n">
        <v>45623</v>
      </c>
      <c r="C72" s="2" t="s">
        <v>11</v>
      </c>
      <c r="D72" s="2" t="s">
        <v>20</v>
      </c>
      <c r="E72" s="2" t="s">
        <v>21</v>
      </c>
      <c r="F72" s="4" t="n">
        <v>1188.08</v>
      </c>
    </row>
    <row r="73" customFormat="false" ht="15" hidden="false" customHeight="false" outlineLevel="0" collapsed="false">
      <c r="A73" s="2" t="n">
        <v>1015</v>
      </c>
      <c r="B73" s="3" t="n">
        <v>45542</v>
      </c>
      <c r="C73" s="2" t="s">
        <v>11</v>
      </c>
      <c r="D73" s="2" t="s">
        <v>7</v>
      </c>
      <c r="E73" s="2" t="s">
        <v>10</v>
      </c>
      <c r="F73" s="4"/>
    </row>
    <row r="74" customFormat="false" ht="15" hidden="false" customHeight="false" outlineLevel="0" collapsed="false">
      <c r="A74" s="2" t="n">
        <v>1038</v>
      </c>
      <c r="B74" s="3" t="n">
        <v>45365</v>
      </c>
      <c r="C74" s="2" t="s">
        <v>9</v>
      </c>
      <c r="D74" s="2" t="s">
        <v>20</v>
      </c>
      <c r="E74" s="2" t="s">
        <v>21</v>
      </c>
      <c r="F74" s="4" t="n">
        <v>831.03</v>
      </c>
    </row>
    <row r="75" customFormat="false" ht="15" hidden="false" customHeight="false" outlineLevel="0" collapsed="false">
      <c r="A75" s="2" t="n">
        <v>1027</v>
      </c>
      <c r="B75" s="3" t="n">
        <v>45540</v>
      </c>
      <c r="C75" s="2" t="s">
        <v>6</v>
      </c>
      <c r="D75" s="2" t="s">
        <v>20</v>
      </c>
      <c r="E75" s="2" t="s">
        <v>25</v>
      </c>
      <c r="F75" s="4" t="n">
        <v>62.08</v>
      </c>
    </row>
    <row r="76" customFormat="false" ht="15" hidden="false" customHeight="false" outlineLevel="0" collapsed="false">
      <c r="A76" s="2" t="n">
        <v>1009</v>
      </c>
      <c r="B76" s="3" t="n">
        <v>45324</v>
      </c>
      <c r="C76" s="2" t="s">
        <v>9</v>
      </c>
      <c r="D76" s="2" t="s">
        <v>15</v>
      </c>
      <c r="E76" s="2" t="s">
        <v>19</v>
      </c>
      <c r="F76" s="4" t="n">
        <v>2057.18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2"/>
  </cols>
  <sheetData>
    <row r="1" customFormat="false" ht="15" hidden="false" customHeight="false" outlineLevel="0" collapsed="false">
      <c r="A1" s="5" t="s">
        <v>26</v>
      </c>
    </row>
    <row r="2" customFormat="false" ht="15" hidden="false" customHeight="false" outlineLevel="0" collapsed="false">
      <c r="A2" s="6" t="s">
        <v>27</v>
      </c>
    </row>
    <row r="4" customFormat="false" ht="15" hidden="false" customHeight="false" outlineLevel="0" collapsed="false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</row>
    <row r="5" customFormat="false" ht="15" hidden="false" customHeight="false" outlineLevel="0" collapsed="false">
      <c r="A5" s="2" t="n">
        <v>1039</v>
      </c>
      <c r="B5" s="3" t="n">
        <v>45646</v>
      </c>
      <c r="C5" s="2" t="s">
        <v>6</v>
      </c>
      <c r="D5" s="2" t="s">
        <v>7</v>
      </c>
      <c r="E5" s="2" t="s">
        <v>8</v>
      </c>
      <c r="F5" s="4" t="n">
        <v>2855.41</v>
      </c>
    </row>
    <row r="6" customFormat="false" ht="15" hidden="false" customHeight="false" outlineLevel="0" collapsed="false">
      <c r="A6" s="2" t="n">
        <v>1057</v>
      </c>
      <c r="B6" s="3" t="n">
        <v>45302</v>
      </c>
      <c r="C6" s="2" t="s">
        <v>9</v>
      </c>
      <c r="D6" s="2" t="s">
        <v>7</v>
      </c>
      <c r="E6" s="2" t="s">
        <v>10</v>
      </c>
      <c r="F6" s="4" t="n">
        <f aca="false">IFERROR(AVERAGEIFS('Raw Data'!$F$2:$F$76,'Raw Data'!$D$2:$D$76,D6),0)</f>
        <v>1424.60214285714</v>
      </c>
    </row>
    <row r="7" customFormat="false" ht="15" hidden="false" customHeight="false" outlineLevel="0" collapsed="false">
      <c r="A7" s="2" t="n">
        <v>1061</v>
      </c>
      <c r="B7" s="3" t="n">
        <v>45473</v>
      </c>
      <c r="C7" s="2" t="s">
        <v>11</v>
      </c>
      <c r="D7" s="2" t="s">
        <v>12</v>
      </c>
      <c r="E7" s="2" t="s">
        <v>13</v>
      </c>
      <c r="F7" s="4" t="n">
        <v>435.75</v>
      </c>
    </row>
    <row r="8" customFormat="false" ht="15" hidden="false" customHeight="false" outlineLevel="0" collapsed="false">
      <c r="A8" s="2" t="n">
        <v>1034</v>
      </c>
      <c r="B8" s="3" t="n">
        <v>45343</v>
      </c>
      <c r="C8" s="2" t="s">
        <v>14</v>
      </c>
      <c r="D8" s="2" t="s">
        <v>7</v>
      </c>
      <c r="E8" s="2" t="s">
        <v>8</v>
      </c>
      <c r="F8" s="4" t="n">
        <v>2629.28</v>
      </c>
    </row>
    <row r="9" customFormat="false" ht="15" hidden="false" customHeight="false" outlineLevel="0" collapsed="false">
      <c r="A9" s="2" t="n">
        <v>1056</v>
      </c>
      <c r="B9" s="3" t="n">
        <v>45534</v>
      </c>
      <c r="C9" s="2" t="s">
        <v>14</v>
      </c>
      <c r="D9" s="2" t="s">
        <v>15</v>
      </c>
      <c r="E9" s="2" t="s">
        <v>16</v>
      </c>
      <c r="F9" s="4" t="n">
        <v>1667.44</v>
      </c>
    </row>
    <row r="10" customFormat="false" ht="15" hidden="false" customHeight="false" outlineLevel="0" collapsed="false">
      <c r="A10" s="2" t="n">
        <v>1055</v>
      </c>
      <c r="B10" s="3" t="n">
        <v>45594</v>
      </c>
      <c r="C10" s="2" t="s">
        <v>11</v>
      </c>
      <c r="D10" s="2" t="s">
        <v>15</v>
      </c>
      <c r="E10" s="2" t="s">
        <v>16</v>
      </c>
      <c r="F10" s="4" t="n">
        <v>2488.21</v>
      </c>
    </row>
    <row r="11" customFormat="false" ht="15" hidden="false" customHeight="false" outlineLevel="0" collapsed="false">
      <c r="A11" s="2" t="n">
        <v>1054</v>
      </c>
      <c r="B11" s="3" t="n">
        <v>45335</v>
      </c>
      <c r="C11" s="2" t="s">
        <v>6</v>
      </c>
      <c r="D11" s="2" t="s">
        <v>15</v>
      </c>
      <c r="E11" s="2" t="s">
        <v>17</v>
      </c>
      <c r="F11" s="4" t="n">
        <v>131.27</v>
      </c>
    </row>
    <row r="12" customFormat="false" ht="15" hidden="false" customHeight="false" outlineLevel="0" collapsed="false">
      <c r="A12" s="2" t="n">
        <v>1066</v>
      </c>
      <c r="B12" s="3" t="n">
        <v>45389</v>
      </c>
      <c r="C12" s="2" t="s">
        <v>14</v>
      </c>
      <c r="D12" s="2" t="s">
        <v>7</v>
      </c>
      <c r="E12" s="2" t="s">
        <v>8</v>
      </c>
      <c r="F12" s="4" t="n">
        <v>1547.76</v>
      </c>
    </row>
    <row r="13" customFormat="false" ht="15" hidden="false" customHeight="false" outlineLevel="0" collapsed="false">
      <c r="A13" s="2" t="n">
        <v>1006</v>
      </c>
      <c r="B13" s="3" t="n">
        <v>45360</v>
      </c>
      <c r="C13" s="2" t="s">
        <v>14</v>
      </c>
      <c r="D13" s="2" t="s">
        <v>12</v>
      </c>
      <c r="E13" s="2" t="s">
        <v>18</v>
      </c>
      <c r="F13" s="4" t="n">
        <v>1645.02</v>
      </c>
    </row>
    <row r="14" customFormat="false" ht="15" hidden="false" customHeight="false" outlineLevel="0" collapsed="false">
      <c r="A14" s="2" t="n">
        <v>1049</v>
      </c>
      <c r="B14" s="3" t="n">
        <v>45392</v>
      </c>
      <c r="C14" s="2" t="s">
        <v>14</v>
      </c>
      <c r="D14" s="2" t="s">
        <v>15</v>
      </c>
      <c r="E14" s="2" t="s">
        <v>19</v>
      </c>
      <c r="F14" s="4" t="n">
        <v>1891</v>
      </c>
    </row>
    <row r="15" customFormat="false" ht="15" hidden="false" customHeight="false" outlineLevel="0" collapsed="false">
      <c r="A15" s="2" t="n">
        <v>1000</v>
      </c>
      <c r="B15" s="3" t="n">
        <v>45457</v>
      </c>
      <c r="C15" s="2" t="s">
        <v>6</v>
      </c>
      <c r="D15" s="2" t="s">
        <v>12</v>
      </c>
      <c r="E15" s="2" t="s">
        <v>13</v>
      </c>
      <c r="F15" s="4" t="n">
        <v>192.44</v>
      </c>
    </row>
    <row r="16" customFormat="false" ht="15" hidden="false" customHeight="false" outlineLevel="0" collapsed="false">
      <c r="A16" s="2" t="n">
        <v>1016</v>
      </c>
      <c r="B16" s="3" t="n">
        <v>45577</v>
      </c>
      <c r="C16" s="2" t="s">
        <v>14</v>
      </c>
      <c r="D16" s="2" t="s">
        <v>20</v>
      </c>
      <c r="E16" s="2" t="s">
        <v>21</v>
      </c>
      <c r="F16" s="4" t="n">
        <v>1083.03</v>
      </c>
    </row>
    <row r="17" customFormat="false" ht="15" hidden="false" customHeight="false" outlineLevel="0" collapsed="false">
      <c r="A17" s="2" t="n">
        <v>1044</v>
      </c>
      <c r="B17" s="3" t="n">
        <v>45391</v>
      </c>
      <c r="C17" s="2" t="s">
        <v>6</v>
      </c>
      <c r="D17" s="2" t="s">
        <v>12</v>
      </c>
      <c r="E17" s="2" t="s">
        <v>13</v>
      </c>
      <c r="F17" s="4" t="n">
        <v>2419.81</v>
      </c>
    </row>
    <row r="18" customFormat="false" ht="15" hidden="false" customHeight="false" outlineLevel="0" collapsed="false">
      <c r="A18" s="2" t="n">
        <v>1047</v>
      </c>
      <c r="B18" s="3" t="n">
        <v>45601</v>
      </c>
      <c r="C18" s="2" t="s">
        <v>14</v>
      </c>
      <c r="D18" s="2" t="s">
        <v>12</v>
      </c>
      <c r="E18" s="2" t="s">
        <v>13</v>
      </c>
      <c r="F18" s="4" t="n">
        <v>2964.71</v>
      </c>
    </row>
    <row r="19" customFormat="false" ht="15" hidden="false" customHeight="false" outlineLevel="0" collapsed="false">
      <c r="A19" s="2" t="n">
        <v>1011</v>
      </c>
      <c r="B19" s="3" t="n">
        <v>45477</v>
      </c>
      <c r="C19" s="2" t="s">
        <v>14</v>
      </c>
      <c r="D19" s="2" t="s">
        <v>15</v>
      </c>
      <c r="E19" s="2" t="s">
        <v>17</v>
      </c>
      <c r="F19" s="4" t="n">
        <v>2112.03</v>
      </c>
    </row>
    <row r="20" customFormat="false" ht="15" hidden="false" customHeight="false" outlineLevel="0" collapsed="false">
      <c r="A20" s="2" t="n">
        <v>1040</v>
      </c>
      <c r="B20" s="3" t="n">
        <v>45562</v>
      </c>
      <c r="C20" s="2" t="s">
        <v>14</v>
      </c>
      <c r="D20" s="2" t="s">
        <v>15</v>
      </c>
      <c r="E20" s="2" t="s">
        <v>16</v>
      </c>
      <c r="F20" s="4" t="n">
        <v>1652.36</v>
      </c>
    </row>
    <row r="21" customFormat="false" ht="15" hidden="false" customHeight="false" outlineLevel="0" collapsed="false">
      <c r="A21" s="2" t="n">
        <v>1069</v>
      </c>
      <c r="B21" s="3" t="n">
        <v>45536</v>
      </c>
      <c r="C21" s="2" t="s">
        <v>6</v>
      </c>
      <c r="D21" s="2" t="s">
        <v>20</v>
      </c>
      <c r="E21" s="2" t="s">
        <v>21</v>
      </c>
      <c r="F21" s="4" t="n">
        <v>2683.63</v>
      </c>
    </row>
    <row r="22" customFormat="false" ht="15" hidden="false" customHeight="false" outlineLevel="0" collapsed="false">
      <c r="A22" s="2" t="n">
        <v>1048</v>
      </c>
      <c r="B22" s="3" t="n">
        <v>45478</v>
      </c>
      <c r="C22" s="2" t="s">
        <v>9</v>
      </c>
      <c r="D22" s="2" t="s">
        <v>15</v>
      </c>
      <c r="E22" s="2" t="s">
        <v>17</v>
      </c>
      <c r="F22" s="4" t="n">
        <v>719.2</v>
      </c>
    </row>
    <row r="23" customFormat="false" ht="15" hidden="false" customHeight="false" outlineLevel="0" collapsed="false">
      <c r="A23" s="2" t="n">
        <v>1036</v>
      </c>
      <c r="B23" s="3" t="n">
        <v>45469</v>
      </c>
      <c r="C23" s="2" t="s">
        <v>14</v>
      </c>
      <c r="D23" s="2" t="s">
        <v>12</v>
      </c>
      <c r="E23" s="2" t="s">
        <v>18</v>
      </c>
      <c r="F23" s="4" t="n">
        <v>390.29</v>
      </c>
    </row>
    <row r="24" customFormat="false" ht="15" hidden="false" customHeight="false" outlineLevel="0" collapsed="false">
      <c r="A24" s="2" t="n">
        <v>1013</v>
      </c>
      <c r="B24" s="3" t="n">
        <v>45467</v>
      </c>
      <c r="C24" s="2" t="s">
        <v>11</v>
      </c>
      <c r="D24" s="2" t="s">
        <v>20</v>
      </c>
      <c r="E24" s="2" t="s">
        <v>21</v>
      </c>
      <c r="F24" s="4" t="n">
        <v>2941.52</v>
      </c>
    </row>
    <row r="25" customFormat="false" ht="15" hidden="false" customHeight="false" outlineLevel="0" collapsed="false">
      <c r="A25" s="2" t="n">
        <v>1041</v>
      </c>
      <c r="B25" s="3" t="n">
        <v>45305</v>
      </c>
      <c r="C25" s="2" t="s">
        <v>14</v>
      </c>
      <c r="D25" s="2" t="s">
        <v>7</v>
      </c>
      <c r="E25" s="2" t="s">
        <v>10</v>
      </c>
      <c r="F25" s="4" t="n">
        <v>2544.07</v>
      </c>
    </row>
    <row r="26" customFormat="false" ht="15" hidden="false" customHeight="false" outlineLevel="0" collapsed="false">
      <c r="A26" s="2" t="n">
        <v>1037</v>
      </c>
      <c r="B26" s="3" t="n">
        <v>45541</v>
      </c>
      <c r="C26" s="2" t="s">
        <v>11</v>
      </c>
      <c r="D26" s="2" t="s">
        <v>12</v>
      </c>
      <c r="E26" s="2" t="s">
        <v>22</v>
      </c>
      <c r="F26" s="4" t="n">
        <v>969.96</v>
      </c>
    </row>
    <row r="27" customFormat="false" ht="15" hidden="false" customHeight="false" outlineLevel="0" collapsed="false">
      <c r="A27" s="2" t="n">
        <v>1009</v>
      </c>
      <c r="B27" s="3" t="n">
        <v>45324</v>
      </c>
      <c r="C27" s="2" t="s">
        <v>9</v>
      </c>
      <c r="D27" s="2" t="s">
        <v>15</v>
      </c>
      <c r="E27" s="2" t="s">
        <v>19</v>
      </c>
      <c r="F27" s="4" t="n">
        <v>2057.18</v>
      </c>
    </row>
    <row r="28" customFormat="false" ht="15" hidden="false" customHeight="false" outlineLevel="0" collapsed="false">
      <c r="A28" s="2" t="n">
        <v>1030</v>
      </c>
      <c r="B28" s="3" t="n">
        <v>45492</v>
      </c>
      <c r="C28" s="2" t="s">
        <v>11</v>
      </c>
      <c r="D28" s="2" t="s">
        <v>12</v>
      </c>
      <c r="E28" s="2" t="s">
        <v>22</v>
      </c>
      <c r="F28" s="4" t="n">
        <v>355.43</v>
      </c>
    </row>
    <row r="29" customFormat="false" ht="15" hidden="false" customHeight="false" outlineLevel="0" collapsed="false">
      <c r="A29" s="2" t="n">
        <v>1008</v>
      </c>
      <c r="B29" s="3" t="n">
        <v>45619</v>
      </c>
      <c r="C29" s="2" t="s">
        <v>6</v>
      </c>
      <c r="D29" s="2" t="s">
        <v>20</v>
      </c>
      <c r="E29" s="2" t="s">
        <v>23</v>
      </c>
      <c r="F29" s="4" t="n">
        <v>1665.85</v>
      </c>
    </row>
    <row r="30" customFormat="false" ht="15" hidden="false" customHeight="false" outlineLevel="0" collapsed="false">
      <c r="A30" s="2" t="n">
        <v>1002</v>
      </c>
      <c r="B30" s="3" t="n">
        <v>45551</v>
      </c>
      <c r="C30" s="2" t="s">
        <v>6</v>
      </c>
      <c r="D30" s="2" t="s">
        <v>7</v>
      </c>
      <c r="E30" s="2" t="s">
        <v>8</v>
      </c>
      <c r="F30" s="4" t="n">
        <v>1329.25</v>
      </c>
    </row>
    <row r="31" customFormat="false" ht="15" hidden="false" customHeight="false" outlineLevel="0" collapsed="false">
      <c r="A31" s="2" t="n">
        <v>1003</v>
      </c>
      <c r="B31" s="3" t="n">
        <v>45327</v>
      </c>
      <c r="C31" s="2" t="s">
        <v>6</v>
      </c>
      <c r="D31" s="2" t="s">
        <v>7</v>
      </c>
      <c r="E31" s="2" t="s">
        <v>10</v>
      </c>
      <c r="F31" s="4" t="n">
        <v>1302.33</v>
      </c>
    </row>
    <row r="32" customFormat="false" ht="15" hidden="false" customHeight="false" outlineLevel="0" collapsed="false">
      <c r="A32" s="2" t="n">
        <v>1060</v>
      </c>
      <c r="B32" s="3" t="n">
        <v>45570</v>
      </c>
      <c r="C32" s="2" t="s">
        <v>11</v>
      </c>
      <c r="D32" s="2" t="s">
        <v>15</v>
      </c>
      <c r="E32" s="2" t="s">
        <v>17</v>
      </c>
      <c r="F32" s="4" t="n">
        <v>2734.55</v>
      </c>
    </row>
    <row r="33" customFormat="false" ht="15" hidden="false" customHeight="false" outlineLevel="0" collapsed="false">
      <c r="A33" s="2" t="n">
        <v>1051</v>
      </c>
      <c r="B33" s="3" t="n">
        <v>45621</v>
      </c>
      <c r="C33" s="2" t="s">
        <v>9</v>
      </c>
      <c r="D33" s="2" t="s">
        <v>7</v>
      </c>
      <c r="E33" s="2" t="s">
        <v>24</v>
      </c>
      <c r="F33" s="4" t="n">
        <v>2357.79</v>
      </c>
    </row>
    <row r="34" customFormat="false" ht="15" hidden="false" customHeight="false" outlineLevel="0" collapsed="false">
      <c r="A34" s="2" t="n">
        <v>1007</v>
      </c>
      <c r="B34" s="3" t="n">
        <v>45584</v>
      </c>
      <c r="C34" s="2" t="s">
        <v>14</v>
      </c>
      <c r="D34" s="2" t="s">
        <v>15</v>
      </c>
      <c r="E34" s="2" t="s">
        <v>17</v>
      </c>
      <c r="F34" s="4" t="n">
        <v>1765.72</v>
      </c>
    </row>
    <row r="35" customFormat="false" ht="15" hidden="false" customHeight="false" outlineLevel="0" collapsed="false">
      <c r="A35" s="2" t="n">
        <v>1004</v>
      </c>
      <c r="B35" s="3" t="n">
        <v>45581</v>
      </c>
      <c r="C35" s="2" t="s">
        <v>9</v>
      </c>
      <c r="D35" s="2" t="s">
        <v>15</v>
      </c>
      <c r="E35" s="2" t="s">
        <v>16</v>
      </c>
      <c r="F35" s="4" t="n">
        <v>1900.93</v>
      </c>
    </row>
    <row r="36" customFormat="false" ht="15" hidden="false" customHeight="false" outlineLevel="0" collapsed="false">
      <c r="A36" s="2" t="n">
        <v>1052</v>
      </c>
      <c r="B36" s="3" t="n">
        <v>45394</v>
      </c>
      <c r="C36" s="2" t="s">
        <v>11</v>
      </c>
      <c r="D36" s="2" t="s">
        <v>15</v>
      </c>
      <c r="E36" s="2" t="s">
        <v>19</v>
      </c>
      <c r="F36" s="4" t="n">
        <v>2377.95</v>
      </c>
    </row>
    <row r="37" customFormat="false" ht="15" hidden="false" customHeight="false" outlineLevel="0" collapsed="false">
      <c r="A37" s="2" t="n">
        <v>1068</v>
      </c>
      <c r="B37" s="3" t="n">
        <v>45550</v>
      </c>
      <c r="C37" s="2" t="s">
        <v>6</v>
      </c>
      <c r="D37" s="2" t="s">
        <v>20</v>
      </c>
      <c r="E37" s="2" t="s">
        <v>25</v>
      </c>
      <c r="F37" s="4" t="n">
        <v>1549.06</v>
      </c>
    </row>
    <row r="38" customFormat="false" ht="15" hidden="false" customHeight="false" outlineLevel="0" collapsed="false">
      <c r="A38" s="2" t="n">
        <v>1033</v>
      </c>
      <c r="B38" s="3" t="n">
        <v>45318</v>
      </c>
      <c r="C38" s="2" t="s">
        <v>9</v>
      </c>
      <c r="D38" s="2" t="s">
        <v>7</v>
      </c>
      <c r="E38" s="2" t="s">
        <v>10</v>
      </c>
      <c r="F38" s="4" t="n">
        <v>496.23</v>
      </c>
    </row>
    <row r="39" customFormat="false" ht="15" hidden="false" customHeight="false" outlineLevel="0" collapsed="false">
      <c r="A39" s="2" t="n">
        <v>1058</v>
      </c>
      <c r="B39" s="3" t="n">
        <v>45363</v>
      </c>
      <c r="C39" s="2" t="s">
        <v>11</v>
      </c>
      <c r="D39" s="2" t="s">
        <v>15</v>
      </c>
      <c r="E39" s="2" t="s">
        <v>17</v>
      </c>
      <c r="F39" s="4" t="n">
        <v>132.58</v>
      </c>
    </row>
    <row r="40" customFormat="false" ht="15" hidden="false" customHeight="false" outlineLevel="0" collapsed="false">
      <c r="A40" s="2" t="n">
        <v>1024</v>
      </c>
      <c r="B40" s="3" t="n">
        <v>45434</v>
      </c>
      <c r="C40" s="2" t="s">
        <v>6</v>
      </c>
      <c r="D40" s="2" t="s">
        <v>12</v>
      </c>
      <c r="E40" s="2" t="s">
        <v>13</v>
      </c>
      <c r="F40" s="4" t="n">
        <v>871.34</v>
      </c>
    </row>
    <row r="41" customFormat="false" ht="15" hidden="false" customHeight="false" outlineLevel="0" collapsed="false">
      <c r="A41" s="2" t="n">
        <v>1043</v>
      </c>
      <c r="B41" s="3" t="n">
        <v>45564</v>
      </c>
      <c r="C41" s="2" t="s">
        <v>14</v>
      </c>
      <c r="D41" s="2" t="s">
        <v>15</v>
      </c>
      <c r="E41" s="2" t="s">
        <v>16</v>
      </c>
      <c r="F41" s="4" t="n">
        <v>2443.96</v>
      </c>
    </row>
    <row r="42" customFormat="false" ht="15" hidden="false" customHeight="false" outlineLevel="0" collapsed="false">
      <c r="A42" s="2" t="n">
        <v>1064</v>
      </c>
      <c r="B42" s="3" t="n">
        <v>45353</v>
      </c>
      <c r="C42" s="2" t="s">
        <v>9</v>
      </c>
      <c r="D42" s="2" t="s">
        <v>20</v>
      </c>
      <c r="E42" s="2" t="s">
        <v>21</v>
      </c>
      <c r="F42" s="4" t="n">
        <v>1579.13</v>
      </c>
    </row>
    <row r="43" customFormat="false" ht="15" hidden="false" customHeight="false" outlineLevel="0" collapsed="false">
      <c r="A43" s="2" t="n">
        <v>1029</v>
      </c>
      <c r="B43" s="3" t="n">
        <v>45555</v>
      </c>
      <c r="C43" s="2" t="s">
        <v>9</v>
      </c>
      <c r="D43" s="2" t="s">
        <v>12</v>
      </c>
      <c r="E43" s="2" t="s">
        <v>13</v>
      </c>
      <c r="F43" s="4" t="n">
        <v>2403.73</v>
      </c>
    </row>
    <row r="44" customFormat="false" ht="15" hidden="false" customHeight="false" outlineLevel="0" collapsed="false">
      <c r="A44" s="2" t="n">
        <v>1035</v>
      </c>
      <c r="B44" s="3" t="n">
        <v>45606</v>
      </c>
      <c r="C44" s="2" t="s">
        <v>11</v>
      </c>
      <c r="D44" s="2" t="s">
        <v>15</v>
      </c>
      <c r="E44" s="2" t="s">
        <v>16</v>
      </c>
      <c r="F44" s="4" t="n">
        <v>794.16</v>
      </c>
    </row>
    <row r="45" customFormat="false" ht="15" hidden="false" customHeight="false" outlineLevel="0" collapsed="false">
      <c r="A45" s="2" t="n">
        <v>1050</v>
      </c>
      <c r="B45" s="3" t="n">
        <v>45604</v>
      </c>
      <c r="C45" s="2" t="s">
        <v>9</v>
      </c>
      <c r="D45" s="2" t="s">
        <v>12</v>
      </c>
      <c r="E45" s="2" t="s">
        <v>13</v>
      </c>
      <c r="F45" s="4" t="n">
        <f aca="false">IFERROR(AVERAGEIFS('Raw Data'!$F$2:$F$76,'Raw Data'!$D$2:$D$76,D45),0)</f>
        <v>1262.55066666667</v>
      </c>
    </row>
    <row r="46" customFormat="false" ht="15" hidden="false" customHeight="false" outlineLevel="0" collapsed="false">
      <c r="A46" s="2" t="n">
        <v>1001</v>
      </c>
      <c r="B46" s="3" t="n">
        <v>45566</v>
      </c>
      <c r="C46" s="2" t="s">
        <v>9</v>
      </c>
      <c r="D46" s="2" t="s">
        <v>20</v>
      </c>
      <c r="E46" s="2" t="s">
        <v>21</v>
      </c>
      <c r="F46" s="4" t="n">
        <v>221.1</v>
      </c>
    </row>
    <row r="47" customFormat="false" ht="15" hidden="false" customHeight="false" outlineLevel="0" collapsed="false">
      <c r="A47" s="2" t="n">
        <v>1023</v>
      </c>
      <c r="B47" s="3" t="n">
        <v>45546</v>
      </c>
      <c r="C47" s="2" t="s">
        <v>9</v>
      </c>
      <c r="D47" s="2" t="s">
        <v>15</v>
      </c>
      <c r="E47" s="2" t="s">
        <v>19</v>
      </c>
      <c r="F47" s="4" t="n">
        <v>1234.85</v>
      </c>
    </row>
    <row r="48" customFormat="false" ht="15" hidden="false" customHeight="false" outlineLevel="0" collapsed="false">
      <c r="A48" s="2" t="n">
        <v>1005</v>
      </c>
      <c r="B48" s="3" t="n">
        <v>45323</v>
      </c>
      <c r="C48" s="2" t="s">
        <v>11</v>
      </c>
      <c r="D48" s="2" t="s">
        <v>7</v>
      </c>
      <c r="E48" s="2" t="s">
        <v>8</v>
      </c>
      <c r="F48" s="4" t="n">
        <v>187.42</v>
      </c>
    </row>
    <row r="49" customFormat="false" ht="15" hidden="false" customHeight="false" outlineLevel="0" collapsed="false">
      <c r="A49" s="2" t="n">
        <v>1020</v>
      </c>
      <c r="B49" s="3" t="n">
        <v>45634</v>
      </c>
      <c r="C49" s="2" t="s">
        <v>14</v>
      </c>
      <c r="D49" s="2" t="s">
        <v>7</v>
      </c>
      <c r="E49" s="2" t="s">
        <v>24</v>
      </c>
      <c r="F49" s="4" t="n">
        <v>1098.62</v>
      </c>
    </row>
    <row r="50" customFormat="false" ht="15" hidden="false" customHeight="false" outlineLevel="0" collapsed="false">
      <c r="A50" s="2" t="n">
        <v>1022</v>
      </c>
      <c r="B50" s="3" t="n">
        <v>45439</v>
      </c>
      <c r="C50" s="2" t="s">
        <v>6</v>
      </c>
      <c r="D50" s="2" t="s">
        <v>15</v>
      </c>
      <c r="E50" s="2" t="s">
        <v>19</v>
      </c>
      <c r="F50" s="4" t="n">
        <v>1203.3</v>
      </c>
    </row>
    <row r="51" customFormat="false" ht="15" hidden="false" customHeight="false" outlineLevel="0" collapsed="false">
      <c r="A51" s="2" t="n">
        <v>1063</v>
      </c>
      <c r="B51" s="3" t="n">
        <v>45368</v>
      </c>
      <c r="C51" s="2" t="s">
        <v>6</v>
      </c>
      <c r="D51" s="2" t="s">
        <v>15</v>
      </c>
      <c r="E51" s="2" t="s">
        <v>19</v>
      </c>
      <c r="F51" s="4" t="n">
        <v>1876.35</v>
      </c>
    </row>
    <row r="52" customFormat="false" ht="15" hidden="false" customHeight="false" outlineLevel="0" collapsed="false">
      <c r="A52" s="2" t="n">
        <v>1026</v>
      </c>
      <c r="B52" s="3" t="n">
        <v>45382</v>
      </c>
      <c r="C52" s="2" t="s">
        <v>6</v>
      </c>
      <c r="D52" s="2" t="s">
        <v>15</v>
      </c>
      <c r="E52" s="2" t="s">
        <v>16</v>
      </c>
      <c r="F52" s="4" t="n">
        <v>738.34</v>
      </c>
    </row>
    <row r="53" customFormat="false" ht="15" hidden="false" customHeight="false" outlineLevel="0" collapsed="false">
      <c r="A53" s="2" t="n">
        <v>1021</v>
      </c>
      <c r="B53" s="3" t="n">
        <v>45604</v>
      </c>
      <c r="C53" s="2" t="s">
        <v>9</v>
      </c>
      <c r="D53" s="2" t="s">
        <v>12</v>
      </c>
      <c r="E53" s="2" t="s">
        <v>18</v>
      </c>
      <c r="F53" s="4" t="n">
        <v>693.71</v>
      </c>
    </row>
    <row r="54" customFormat="false" ht="15" hidden="false" customHeight="false" outlineLevel="0" collapsed="false">
      <c r="A54" s="2" t="n">
        <v>1062</v>
      </c>
      <c r="B54" s="3" t="n">
        <v>45369</v>
      </c>
      <c r="C54" s="2" t="s">
        <v>9</v>
      </c>
      <c r="D54" s="2" t="s">
        <v>12</v>
      </c>
      <c r="E54" s="2" t="s">
        <v>18</v>
      </c>
      <c r="F54" s="4" t="n">
        <v>1845.24</v>
      </c>
    </row>
    <row r="55" customFormat="false" ht="15" hidden="false" customHeight="false" outlineLevel="0" collapsed="false">
      <c r="A55" s="2" t="n">
        <v>1067</v>
      </c>
      <c r="B55" s="3" t="n">
        <v>45579</v>
      </c>
      <c r="C55" s="2" t="s">
        <v>9</v>
      </c>
      <c r="D55" s="2" t="s">
        <v>7</v>
      </c>
      <c r="E55" s="2" t="s">
        <v>24</v>
      </c>
      <c r="F55" s="4" t="n">
        <v>1010.56</v>
      </c>
    </row>
    <row r="56" customFormat="false" ht="15" hidden="false" customHeight="false" outlineLevel="0" collapsed="false">
      <c r="A56" s="2" t="n">
        <v>1045</v>
      </c>
      <c r="B56" s="3" t="n">
        <v>45394</v>
      </c>
      <c r="C56" s="2" t="s">
        <v>11</v>
      </c>
      <c r="D56" s="2" t="s">
        <v>20</v>
      </c>
      <c r="E56" s="2" t="s">
        <v>21</v>
      </c>
      <c r="F56" s="4" t="n">
        <v>135.49</v>
      </c>
    </row>
    <row r="57" customFormat="false" ht="15" hidden="false" customHeight="false" outlineLevel="0" collapsed="false">
      <c r="A57" s="2" t="n">
        <v>1065</v>
      </c>
      <c r="B57" s="3" t="n">
        <v>45576</v>
      </c>
      <c r="C57" s="2" t="s">
        <v>11</v>
      </c>
      <c r="D57" s="2" t="s">
        <v>7</v>
      </c>
      <c r="E57" s="2" t="s">
        <v>10</v>
      </c>
      <c r="F57" s="4" t="n">
        <v>217.63</v>
      </c>
    </row>
    <row r="58" customFormat="false" ht="15" hidden="false" customHeight="false" outlineLevel="0" collapsed="false">
      <c r="A58" s="2" t="n">
        <v>1014</v>
      </c>
      <c r="B58" s="3" t="n">
        <v>45352</v>
      </c>
      <c r="C58" s="2" t="s">
        <v>11</v>
      </c>
      <c r="D58" s="2" t="s">
        <v>15</v>
      </c>
      <c r="E58" s="2" t="s">
        <v>19</v>
      </c>
      <c r="F58" s="4" t="n">
        <v>498.35</v>
      </c>
    </row>
    <row r="59" customFormat="false" ht="15" hidden="false" customHeight="false" outlineLevel="0" collapsed="false">
      <c r="A59" s="2" t="n">
        <v>1053</v>
      </c>
      <c r="B59" s="3" t="n">
        <v>45462</v>
      </c>
      <c r="C59" s="2" t="s">
        <v>9</v>
      </c>
      <c r="D59" s="2" t="s">
        <v>12</v>
      </c>
      <c r="E59" s="2" t="s">
        <v>22</v>
      </c>
      <c r="F59" s="4" t="n">
        <f aca="false">IFERROR(AVERAGEIFS('Raw Data'!$F$2:$F$76,'Raw Data'!$D$2:$D$76,D59),0)</f>
        <v>1262.55066666667</v>
      </c>
    </row>
    <row r="60" customFormat="false" ht="15" hidden="false" customHeight="false" outlineLevel="0" collapsed="false">
      <c r="A60" s="2" t="n">
        <v>1042</v>
      </c>
      <c r="B60" s="3" t="n">
        <v>45557</v>
      </c>
      <c r="C60" s="2" t="s">
        <v>14</v>
      </c>
      <c r="D60" s="2" t="s">
        <v>15</v>
      </c>
      <c r="E60" s="2" t="s">
        <v>19</v>
      </c>
      <c r="F60" s="4" t="n">
        <v>2327.22</v>
      </c>
    </row>
    <row r="61" customFormat="false" ht="15" hidden="false" customHeight="false" outlineLevel="0" collapsed="false">
      <c r="A61" s="2" t="n">
        <v>1010</v>
      </c>
      <c r="B61" s="3" t="n">
        <v>45510</v>
      </c>
      <c r="C61" s="2" t="s">
        <v>14</v>
      </c>
      <c r="D61" s="2" t="s">
        <v>12</v>
      </c>
      <c r="E61" s="2" t="s">
        <v>13</v>
      </c>
      <c r="F61" s="4" t="n">
        <v>2774.15</v>
      </c>
    </row>
    <row r="62" customFormat="false" ht="15" hidden="false" customHeight="false" outlineLevel="0" collapsed="false">
      <c r="A62" s="2" t="n">
        <v>1031</v>
      </c>
      <c r="B62" s="3" t="n">
        <v>45616</v>
      </c>
      <c r="C62" s="2" t="s">
        <v>11</v>
      </c>
      <c r="D62" s="2" t="s">
        <v>7</v>
      </c>
      <c r="E62" s="2" t="s">
        <v>8</v>
      </c>
      <c r="F62" s="4" t="n">
        <v>248.68</v>
      </c>
    </row>
    <row r="63" customFormat="false" ht="15" hidden="false" customHeight="false" outlineLevel="0" collapsed="false">
      <c r="A63" s="2" t="n">
        <v>1025</v>
      </c>
      <c r="B63" s="3" t="n">
        <v>45504</v>
      </c>
      <c r="C63" s="2" t="s">
        <v>14</v>
      </c>
      <c r="D63" s="2" t="s">
        <v>12</v>
      </c>
      <c r="E63" s="2" t="s">
        <v>18</v>
      </c>
      <c r="F63" s="4" t="n">
        <f aca="false">IFERROR(AVERAGEIFS('Raw Data'!$F$2:$F$76,'Raw Data'!$D$2:$D$76,D63),0)</f>
        <v>1262.55066666667</v>
      </c>
    </row>
    <row r="64" customFormat="false" ht="15" hidden="false" customHeight="false" outlineLevel="0" collapsed="false">
      <c r="A64" s="2" t="n">
        <v>1012</v>
      </c>
      <c r="B64" s="3" t="n">
        <v>45416</v>
      </c>
      <c r="C64" s="2" t="s">
        <v>9</v>
      </c>
      <c r="D64" s="2" t="s">
        <v>20</v>
      </c>
      <c r="E64" s="2" t="s">
        <v>21</v>
      </c>
      <c r="F64" s="4" t="n">
        <v>1510.59</v>
      </c>
    </row>
    <row r="65" customFormat="false" ht="15" hidden="false" customHeight="false" outlineLevel="0" collapsed="false">
      <c r="A65" s="2" t="n">
        <v>1028</v>
      </c>
      <c r="B65" s="3" t="n">
        <v>45506</v>
      </c>
      <c r="C65" s="2" t="s">
        <v>14</v>
      </c>
      <c r="D65" s="2" t="s">
        <v>20</v>
      </c>
      <c r="E65" s="2" t="s">
        <v>23</v>
      </c>
      <c r="F65" s="4" t="n">
        <v>2086.96</v>
      </c>
    </row>
    <row r="66" customFormat="false" ht="15" hidden="false" customHeight="false" outlineLevel="0" collapsed="false">
      <c r="A66" s="2" t="n">
        <v>1059</v>
      </c>
      <c r="B66" s="3" t="n">
        <v>45400</v>
      </c>
      <c r="C66" s="2" t="s">
        <v>14</v>
      </c>
      <c r="D66" s="2" t="s">
        <v>15</v>
      </c>
      <c r="E66" s="2" t="s">
        <v>16</v>
      </c>
      <c r="F66" s="4" t="n">
        <v>1011.67</v>
      </c>
    </row>
    <row r="67" customFormat="false" ht="15" hidden="false" customHeight="false" outlineLevel="0" collapsed="false">
      <c r="A67" s="2" t="n">
        <v>1017</v>
      </c>
      <c r="B67" s="3" t="n">
        <v>45546</v>
      </c>
      <c r="C67" s="2" t="s">
        <v>11</v>
      </c>
      <c r="D67" s="2" t="s">
        <v>7</v>
      </c>
      <c r="E67" s="2" t="s">
        <v>8</v>
      </c>
      <c r="F67" s="4" t="n">
        <f aca="false">IFERROR(AVERAGEIFS('Raw Data'!$F$2:$F$76,'Raw Data'!$D$2:$D$76,D67),0)</f>
        <v>1424.60214285714</v>
      </c>
    </row>
    <row r="68" customFormat="false" ht="15" hidden="false" customHeight="false" outlineLevel="0" collapsed="false">
      <c r="A68" s="2" t="n">
        <v>1032</v>
      </c>
      <c r="B68" s="3" t="n">
        <v>45398</v>
      </c>
      <c r="C68" s="2" t="s">
        <v>11</v>
      </c>
      <c r="D68" s="2" t="s">
        <v>15</v>
      </c>
      <c r="E68" s="2" t="s">
        <v>17</v>
      </c>
      <c r="F68" s="4" t="n">
        <v>1053.16</v>
      </c>
    </row>
    <row r="69" customFormat="false" ht="15" hidden="false" customHeight="false" outlineLevel="0" collapsed="false">
      <c r="A69" s="2" t="n">
        <v>1018</v>
      </c>
      <c r="B69" s="3" t="n">
        <v>45534</v>
      </c>
      <c r="C69" s="2" t="s">
        <v>9</v>
      </c>
      <c r="D69" s="2" t="s">
        <v>7</v>
      </c>
      <c r="E69" s="2" t="s">
        <v>10</v>
      </c>
      <c r="F69" s="4" t="n">
        <v>2119.4</v>
      </c>
    </row>
    <row r="70" customFormat="false" ht="15" hidden="false" customHeight="false" outlineLevel="0" collapsed="false">
      <c r="A70" s="2" t="n">
        <v>1046</v>
      </c>
      <c r="B70" s="3" t="n">
        <v>45306</v>
      </c>
      <c r="C70" s="2" t="s">
        <v>14</v>
      </c>
      <c r="D70" s="2" t="s">
        <v>12</v>
      </c>
      <c r="E70" s="2" t="s">
        <v>22</v>
      </c>
      <c r="F70" s="4" t="n">
        <v>621.25</v>
      </c>
    </row>
    <row r="71" customFormat="false" ht="15" hidden="false" customHeight="false" outlineLevel="0" collapsed="false">
      <c r="A71" s="2" t="n">
        <v>1019</v>
      </c>
      <c r="B71" s="3" t="n">
        <v>45623</v>
      </c>
      <c r="C71" s="2" t="s">
        <v>11</v>
      </c>
      <c r="D71" s="2" t="s">
        <v>20</v>
      </c>
      <c r="E71" s="2" t="s">
        <v>21</v>
      </c>
      <c r="F71" s="4" t="n">
        <v>1188.08</v>
      </c>
    </row>
    <row r="72" customFormat="false" ht="15" hidden="false" customHeight="false" outlineLevel="0" collapsed="false">
      <c r="A72" s="2" t="n">
        <v>1015</v>
      </c>
      <c r="B72" s="3" t="n">
        <v>45542</v>
      </c>
      <c r="C72" s="2" t="s">
        <v>11</v>
      </c>
      <c r="D72" s="2" t="s">
        <v>7</v>
      </c>
      <c r="E72" s="2" t="s">
        <v>10</v>
      </c>
      <c r="F72" s="4" t="n">
        <f aca="false">IFERROR(AVERAGEIFS('Raw Data'!$F$2:$F$76,'Raw Data'!$D$2:$D$76,D72),0)</f>
        <v>1424.60214285714</v>
      </c>
    </row>
    <row r="73" customFormat="false" ht="15" hidden="false" customHeight="false" outlineLevel="0" collapsed="false">
      <c r="A73" s="2" t="n">
        <v>1038</v>
      </c>
      <c r="B73" s="3" t="n">
        <v>45365</v>
      </c>
      <c r="C73" s="2" t="s">
        <v>9</v>
      </c>
      <c r="D73" s="2" t="s">
        <v>20</v>
      </c>
      <c r="E73" s="2" t="s">
        <v>21</v>
      </c>
      <c r="F73" s="4" t="n">
        <v>831.03</v>
      </c>
    </row>
    <row r="74" customFormat="false" ht="15" hidden="false" customHeight="false" outlineLevel="0" collapsed="false">
      <c r="A74" s="2" t="n">
        <v>1027</v>
      </c>
      <c r="B74" s="3" t="n">
        <v>45540</v>
      </c>
      <c r="C74" s="2" t="s">
        <v>6</v>
      </c>
      <c r="D74" s="2" t="s">
        <v>20</v>
      </c>
      <c r="E74" s="2" t="s">
        <v>25</v>
      </c>
      <c r="F74" s="4" t="n">
        <v>62.08</v>
      </c>
    </row>
    <row r="76" customFormat="false" ht="15" hidden="false" customHeight="false" outlineLevel="0" collapsed="false">
      <c r="A76" s="7" t="s">
        <v>28</v>
      </c>
    </row>
    <row r="77" customFormat="false" ht="15" hidden="false" customHeight="false" outlineLevel="0" collapsed="false">
      <c r="A77" s="0" t="s">
        <v>29</v>
      </c>
    </row>
    <row r="78" customFormat="false" ht="15" hidden="false" customHeight="false" outlineLevel="0" collapsed="false">
      <c r="A78" s="0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2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5" t="s">
        <v>31</v>
      </c>
    </row>
    <row r="3" customFormat="false" ht="15" hidden="false" customHeight="false" outlineLevel="0" collapsed="false">
      <c r="A3" s="8" t="s">
        <v>2</v>
      </c>
      <c r="B3" s="8" t="s">
        <v>32</v>
      </c>
      <c r="C3" s="8" t="s">
        <v>33</v>
      </c>
      <c r="D3" s="8" t="s">
        <v>34</v>
      </c>
    </row>
    <row r="4" customFormat="false" ht="15" hidden="false" customHeight="false" outlineLevel="0" collapsed="false">
      <c r="A4" s="2" t="s">
        <v>9</v>
      </c>
      <c r="B4" s="4" t="n">
        <f aca="false">SUMIFS('Cleaned Data'!$F$5:$F$74,'Cleaned Data'!$C$5:$C$74,A4)</f>
        <v>24930.3734761905</v>
      </c>
      <c r="C4" s="2" t="n">
        <f aca="false">COUNTIFS('Cleaned Data'!$C$5:$C$74,A4)</f>
        <v>18</v>
      </c>
      <c r="D4" s="4" t="n">
        <f aca="false">IFERROR(B4/C4,0)</f>
        <v>1385.02074867725</v>
      </c>
    </row>
    <row r="5" customFormat="false" ht="15" hidden="false" customHeight="false" outlineLevel="0" collapsed="false">
      <c r="A5" s="2" t="s">
        <v>6</v>
      </c>
      <c r="B5" s="4" t="n">
        <f aca="false">SUMIFS('Cleaned Data'!$F$5:$F$74,'Cleaned Data'!$C$5:$C$74,A5)</f>
        <v>18880.46</v>
      </c>
      <c r="C5" s="2" t="n">
        <f aca="false">COUNTIFS('Cleaned Data'!$C$5:$C$74,A5)</f>
        <v>14</v>
      </c>
      <c r="D5" s="4" t="n">
        <f aca="false">IFERROR(B5/C5,0)</f>
        <v>1348.60428571429</v>
      </c>
    </row>
    <row r="6" customFormat="false" ht="15" hidden="false" customHeight="false" outlineLevel="0" collapsed="false">
      <c r="A6" s="2" t="s">
        <v>14</v>
      </c>
      <c r="B6" s="4" t="n">
        <f aca="false">SUMIFS('Cleaned Data'!$F$5:$F$74,'Cleaned Data'!$C$5:$C$74,A6)</f>
        <v>35519.0906666667</v>
      </c>
      <c r="C6" s="2" t="n">
        <f aca="false">COUNTIFS('Cleaned Data'!$C$5:$C$74,A6)</f>
        <v>20</v>
      </c>
      <c r="D6" s="4" t="n">
        <f aca="false">IFERROR(B6/C6,0)</f>
        <v>1775.95453333333</v>
      </c>
    </row>
    <row r="7" customFormat="false" ht="15" hidden="false" customHeight="false" outlineLevel="0" collapsed="false">
      <c r="A7" s="2" t="s">
        <v>11</v>
      </c>
      <c r="B7" s="4" t="n">
        <f aca="false">SUMIFS('Cleaned Data'!$F$5:$F$74,'Cleaned Data'!$C$5:$C$74,A7)</f>
        <v>19608.1242857143</v>
      </c>
      <c r="C7" s="2" t="n">
        <f aca="false">COUNTIFS('Cleaned Data'!$C$5:$C$74,A7)</f>
        <v>18</v>
      </c>
      <c r="D7" s="4" t="n">
        <f aca="false">IFERROR(B7/C7,0)</f>
        <v>1089.34023809524</v>
      </c>
    </row>
    <row r="8" customFormat="false" ht="15" hidden="false" customHeight="false" outlineLevel="0" collapsed="false">
      <c r="A8" s="9" t="s">
        <v>35</v>
      </c>
      <c r="B8" s="10" t="n">
        <f aca="false">SUM(B4:B7)</f>
        <v>98938.0484285714</v>
      </c>
      <c r="C8" s="11" t="n">
        <f aca="false">SUM(C4:C7)</f>
        <v>70</v>
      </c>
      <c r="D8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6"/>
    <col collapsed="false" customWidth="true" hidden="false" outlineLevel="0" max="3" min="3" style="0" width="14"/>
  </cols>
  <sheetData>
    <row r="1" customFormat="false" ht="15" hidden="false" customHeight="false" outlineLevel="0" collapsed="false">
      <c r="A1" s="5" t="s">
        <v>36</v>
      </c>
    </row>
    <row r="3" customFormat="false" ht="15" hidden="false" customHeight="false" outlineLevel="0" collapsed="false">
      <c r="A3" s="1" t="s">
        <v>37</v>
      </c>
      <c r="B3" s="1" t="s">
        <v>38</v>
      </c>
      <c r="C3" s="1" t="s">
        <v>39</v>
      </c>
    </row>
    <row r="4" customFormat="false" ht="15" hidden="false" customHeight="false" outlineLevel="0" collapsed="false">
      <c r="A4" s="2" t="s">
        <v>40</v>
      </c>
      <c r="B4" s="4" t="n">
        <f aca="false">AVERAGE('Cleaned Data'!$F$5:$F$74)</f>
        <v>1413.40069183673</v>
      </c>
      <c r="C4" s="4" t="n">
        <f aca="false">AVERAGE('Cleaned Data'!$F$5:$F$74)</f>
        <v>1413.40069183673</v>
      </c>
    </row>
    <row r="5" customFormat="false" ht="15" hidden="false" customHeight="false" outlineLevel="0" collapsed="false">
      <c r="A5" s="2" t="s">
        <v>41</v>
      </c>
      <c r="B5" s="2" t="n">
        <f aca="false">MEDIAN('Cleaned Data'!$F$5:$F$74)</f>
        <v>1376.92607142857</v>
      </c>
      <c r="C5" s="4" t="n">
        <f aca="false">MEDIAN('Cleaned Data'!$F$5:$F$74)</f>
        <v>1376.92607142857</v>
      </c>
    </row>
    <row r="6" customFormat="false" ht="15" hidden="false" customHeight="false" outlineLevel="0" collapsed="false">
      <c r="A6" s="2" t="s">
        <v>42</v>
      </c>
      <c r="B6" s="2" t="n">
        <f aca="false">IFERROR(MODE('Cleaned Data'!$F$5:$F$74),"No mode")</f>
        <v>1262.55066666667</v>
      </c>
      <c r="C6" s="4" t="n">
        <f aca="false">IFERROR(MODE('Cleaned Data'!$F$5:$F$74),"No mode")</f>
        <v>1262.55066666667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2"/>
  </cols>
  <sheetData>
    <row r="1" customFormat="false" ht="15" hidden="false" customHeight="false" outlineLevel="0" collapsed="false">
      <c r="A1" s="5" t="s">
        <v>43</v>
      </c>
    </row>
    <row r="3" customFormat="false" ht="15" hidden="false" customHeight="false" outlineLevel="0" collapsed="false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customFormat="false" ht="15" hidden="false" customHeight="false" outlineLevel="0" collapsed="false">
      <c r="A4" s="2" t="n">
        <v>1039</v>
      </c>
      <c r="B4" s="3" t="n">
        <v>45646</v>
      </c>
      <c r="C4" s="2" t="s">
        <v>6</v>
      </c>
      <c r="D4" s="2" t="s">
        <v>7</v>
      </c>
      <c r="E4" s="2" t="s">
        <v>8</v>
      </c>
      <c r="F4" s="4" t="n">
        <f aca="false">'Cleaned Data'!$F$5</f>
        <v>2855.41</v>
      </c>
    </row>
    <row r="5" customFormat="false" ht="15" hidden="false" customHeight="false" outlineLevel="0" collapsed="false">
      <c r="A5" s="2" t="n">
        <v>1057</v>
      </c>
      <c r="B5" s="3" t="n">
        <v>45302</v>
      </c>
      <c r="C5" s="2" t="s">
        <v>9</v>
      </c>
      <c r="D5" s="2" t="s">
        <v>7</v>
      </c>
      <c r="E5" s="2" t="s">
        <v>10</v>
      </c>
      <c r="F5" s="4" t="n">
        <f aca="false">'Cleaned Data'!$F$6</f>
        <v>1424.60214285714</v>
      </c>
    </row>
    <row r="6" customFormat="false" ht="15" hidden="false" customHeight="false" outlineLevel="0" collapsed="false">
      <c r="A6" s="2" t="n">
        <v>1061</v>
      </c>
      <c r="B6" s="3" t="n">
        <v>45473</v>
      </c>
      <c r="C6" s="2" t="s">
        <v>11</v>
      </c>
      <c r="D6" s="2" t="s">
        <v>12</v>
      </c>
      <c r="E6" s="2" t="s">
        <v>13</v>
      </c>
      <c r="F6" s="4" t="n">
        <f aca="false">'Cleaned Data'!$F$7</f>
        <v>435.75</v>
      </c>
    </row>
    <row r="7" customFormat="false" ht="15" hidden="false" customHeight="false" outlineLevel="0" collapsed="false">
      <c r="A7" s="2" t="n">
        <v>1034</v>
      </c>
      <c r="B7" s="3" t="n">
        <v>45343</v>
      </c>
      <c r="C7" s="2" t="s">
        <v>14</v>
      </c>
      <c r="D7" s="2" t="s">
        <v>7</v>
      </c>
      <c r="E7" s="2" t="s">
        <v>8</v>
      </c>
      <c r="F7" s="4" t="n">
        <f aca="false">'Cleaned Data'!$F$8</f>
        <v>2629.28</v>
      </c>
    </row>
    <row r="8" customFormat="false" ht="15" hidden="false" customHeight="false" outlineLevel="0" collapsed="false">
      <c r="A8" s="2" t="n">
        <v>1056</v>
      </c>
      <c r="B8" s="3" t="n">
        <v>45534</v>
      </c>
      <c r="C8" s="2" t="s">
        <v>14</v>
      </c>
      <c r="D8" s="2" t="s">
        <v>15</v>
      </c>
      <c r="E8" s="2" t="s">
        <v>16</v>
      </c>
      <c r="F8" s="4" t="n">
        <f aca="false">'Cleaned Data'!$F$9</f>
        <v>1667.44</v>
      </c>
    </row>
    <row r="9" customFormat="false" ht="15" hidden="false" customHeight="false" outlineLevel="0" collapsed="false">
      <c r="A9" s="2" t="n">
        <v>1055</v>
      </c>
      <c r="B9" s="3" t="n">
        <v>45594</v>
      </c>
      <c r="C9" s="2" t="s">
        <v>11</v>
      </c>
      <c r="D9" s="2" t="s">
        <v>15</v>
      </c>
      <c r="E9" s="2" t="s">
        <v>16</v>
      </c>
      <c r="F9" s="4" t="n">
        <f aca="false">'Cleaned Data'!$F$10</f>
        <v>2488.21</v>
      </c>
    </row>
    <row r="10" customFormat="false" ht="15" hidden="false" customHeight="false" outlineLevel="0" collapsed="false">
      <c r="A10" s="2" t="n">
        <v>1054</v>
      </c>
      <c r="B10" s="3" t="n">
        <v>45335</v>
      </c>
      <c r="C10" s="2" t="s">
        <v>6</v>
      </c>
      <c r="D10" s="2" t="s">
        <v>15</v>
      </c>
      <c r="E10" s="2" t="s">
        <v>17</v>
      </c>
      <c r="F10" s="4" t="n">
        <f aca="false">'Cleaned Data'!$F$11</f>
        <v>131.27</v>
      </c>
    </row>
    <row r="11" customFormat="false" ht="15" hidden="false" customHeight="false" outlineLevel="0" collapsed="false">
      <c r="A11" s="2" t="n">
        <v>1066</v>
      </c>
      <c r="B11" s="3" t="n">
        <v>45389</v>
      </c>
      <c r="C11" s="2" t="s">
        <v>14</v>
      </c>
      <c r="D11" s="2" t="s">
        <v>7</v>
      </c>
      <c r="E11" s="2" t="s">
        <v>8</v>
      </c>
      <c r="F11" s="4" t="n">
        <f aca="false">'Cleaned Data'!$F$12</f>
        <v>1547.76</v>
      </c>
    </row>
    <row r="12" customFormat="false" ht="15" hidden="false" customHeight="false" outlineLevel="0" collapsed="false">
      <c r="A12" s="2" t="n">
        <v>1006</v>
      </c>
      <c r="B12" s="3" t="n">
        <v>45360</v>
      </c>
      <c r="C12" s="2" t="s">
        <v>14</v>
      </c>
      <c r="D12" s="2" t="s">
        <v>12</v>
      </c>
      <c r="E12" s="2" t="s">
        <v>18</v>
      </c>
      <c r="F12" s="4" t="n">
        <f aca="false">'Cleaned Data'!$F$13</f>
        <v>1645.02</v>
      </c>
    </row>
    <row r="13" customFormat="false" ht="15" hidden="false" customHeight="false" outlineLevel="0" collapsed="false">
      <c r="A13" s="2" t="n">
        <v>1049</v>
      </c>
      <c r="B13" s="3" t="n">
        <v>45392</v>
      </c>
      <c r="C13" s="2" t="s">
        <v>14</v>
      </c>
      <c r="D13" s="2" t="s">
        <v>15</v>
      </c>
      <c r="E13" s="2" t="s">
        <v>19</v>
      </c>
      <c r="F13" s="4" t="n">
        <f aca="false">'Cleaned Data'!$F$14</f>
        <v>1891</v>
      </c>
    </row>
    <row r="14" customFormat="false" ht="15" hidden="false" customHeight="false" outlineLevel="0" collapsed="false">
      <c r="A14" s="2" t="n">
        <v>1000</v>
      </c>
      <c r="B14" s="3" t="n">
        <v>45457</v>
      </c>
      <c r="C14" s="2" t="s">
        <v>6</v>
      </c>
      <c r="D14" s="2" t="s">
        <v>12</v>
      </c>
      <c r="E14" s="2" t="s">
        <v>13</v>
      </c>
      <c r="F14" s="4" t="n">
        <f aca="false">'Cleaned Data'!$F$15</f>
        <v>192.44</v>
      </c>
    </row>
    <row r="15" customFormat="false" ht="15" hidden="false" customHeight="false" outlineLevel="0" collapsed="false">
      <c r="A15" s="2" t="n">
        <v>1016</v>
      </c>
      <c r="B15" s="3" t="n">
        <v>45577</v>
      </c>
      <c r="C15" s="2" t="s">
        <v>14</v>
      </c>
      <c r="D15" s="2" t="s">
        <v>20</v>
      </c>
      <c r="E15" s="2" t="s">
        <v>21</v>
      </c>
      <c r="F15" s="4" t="n">
        <f aca="false">'Cleaned Data'!$F$16</f>
        <v>1083.03</v>
      </c>
    </row>
    <row r="16" customFormat="false" ht="15" hidden="false" customHeight="false" outlineLevel="0" collapsed="false">
      <c r="A16" s="2" t="n">
        <v>1044</v>
      </c>
      <c r="B16" s="3" t="n">
        <v>45391</v>
      </c>
      <c r="C16" s="2" t="s">
        <v>6</v>
      </c>
      <c r="D16" s="2" t="s">
        <v>12</v>
      </c>
      <c r="E16" s="2" t="s">
        <v>13</v>
      </c>
      <c r="F16" s="4" t="n">
        <f aca="false">'Cleaned Data'!$F$17</f>
        <v>2419.81</v>
      </c>
    </row>
    <row r="17" customFormat="false" ht="15" hidden="false" customHeight="false" outlineLevel="0" collapsed="false">
      <c r="A17" s="2" t="n">
        <v>1047</v>
      </c>
      <c r="B17" s="3" t="n">
        <v>45601</v>
      </c>
      <c r="C17" s="2" t="s">
        <v>14</v>
      </c>
      <c r="D17" s="2" t="s">
        <v>12</v>
      </c>
      <c r="E17" s="2" t="s">
        <v>13</v>
      </c>
      <c r="F17" s="4" t="n">
        <f aca="false">'Cleaned Data'!$F$18</f>
        <v>2964.71</v>
      </c>
    </row>
    <row r="18" customFormat="false" ht="15" hidden="false" customHeight="false" outlineLevel="0" collapsed="false">
      <c r="A18" s="2" t="n">
        <v>1011</v>
      </c>
      <c r="B18" s="3" t="n">
        <v>45477</v>
      </c>
      <c r="C18" s="2" t="s">
        <v>14</v>
      </c>
      <c r="D18" s="2" t="s">
        <v>15</v>
      </c>
      <c r="E18" s="2" t="s">
        <v>17</v>
      </c>
      <c r="F18" s="4" t="n">
        <f aca="false">'Cleaned Data'!$F$19</f>
        <v>2112.03</v>
      </c>
    </row>
    <row r="19" customFormat="false" ht="15" hidden="false" customHeight="false" outlineLevel="0" collapsed="false">
      <c r="A19" s="2" t="n">
        <v>1040</v>
      </c>
      <c r="B19" s="3" t="n">
        <v>45562</v>
      </c>
      <c r="C19" s="2" t="s">
        <v>14</v>
      </c>
      <c r="D19" s="2" t="s">
        <v>15</v>
      </c>
      <c r="E19" s="2" t="s">
        <v>16</v>
      </c>
      <c r="F19" s="4" t="n">
        <f aca="false">'Cleaned Data'!$F$20</f>
        <v>1652.36</v>
      </c>
    </row>
    <row r="20" customFormat="false" ht="15" hidden="false" customHeight="false" outlineLevel="0" collapsed="false">
      <c r="A20" s="2" t="n">
        <v>1069</v>
      </c>
      <c r="B20" s="3" t="n">
        <v>45536</v>
      </c>
      <c r="C20" s="2" t="s">
        <v>6</v>
      </c>
      <c r="D20" s="2" t="s">
        <v>20</v>
      </c>
      <c r="E20" s="2" t="s">
        <v>21</v>
      </c>
      <c r="F20" s="4" t="n">
        <f aca="false">'Cleaned Data'!$F$21</f>
        <v>2683.63</v>
      </c>
    </row>
    <row r="21" customFormat="false" ht="15" hidden="false" customHeight="false" outlineLevel="0" collapsed="false">
      <c r="A21" s="2" t="n">
        <v>1048</v>
      </c>
      <c r="B21" s="3" t="n">
        <v>45478</v>
      </c>
      <c r="C21" s="2" t="s">
        <v>9</v>
      </c>
      <c r="D21" s="2" t="s">
        <v>15</v>
      </c>
      <c r="E21" s="2" t="s">
        <v>17</v>
      </c>
      <c r="F21" s="4" t="n">
        <f aca="false">'Cleaned Data'!$F$22</f>
        <v>719.2</v>
      </c>
    </row>
    <row r="22" customFormat="false" ht="15" hidden="false" customHeight="false" outlineLevel="0" collapsed="false">
      <c r="A22" s="2" t="n">
        <v>1036</v>
      </c>
      <c r="B22" s="3" t="n">
        <v>45469</v>
      </c>
      <c r="C22" s="2" t="s">
        <v>14</v>
      </c>
      <c r="D22" s="2" t="s">
        <v>12</v>
      </c>
      <c r="E22" s="2" t="s">
        <v>18</v>
      </c>
      <c r="F22" s="4" t="n">
        <f aca="false">'Cleaned Data'!$F$23</f>
        <v>390.29</v>
      </c>
    </row>
    <row r="23" customFormat="false" ht="15" hidden="false" customHeight="false" outlineLevel="0" collapsed="false">
      <c r="A23" s="2" t="n">
        <v>1013</v>
      </c>
      <c r="B23" s="3" t="n">
        <v>45467</v>
      </c>
      <c r="C23" s="2" t="s">
        <v>11</v>
      </c>
      <c r="D23" s="2" t="s">
        <v>20</v>
      </c>
      <c r="E23" s="2" t="s">
        <v>21</v>
      </c>
      <c r="F23" s="4" t="n">
        <f aca="false">'Cleaned Data'!$F$24</f>
        <v>2941.52</v>
      </c>
    </row>
    <row r="24" customFormat="false" ht="15" hidden="false" customHeight="false" outlineLevel="0" collapsed="false">
      <c r="A24" s="2" t="n">
        <v>1041</v>
      </c>
      <c r="B24" s="3" t="n">
        <v>45305</v>
      </c>
      <c r="C24" s="2" t="s">
        <v>14</v>
      </c>
      <c r="D24" s="2" t="s">
        <v>7</v>
      </c>
      <c r="E24" s="2" t="s">
        <v>10</v>
      </c>
      <c r="F24" s="4" t="n">
        <f aca="false">'Cleaned Data'!$F$25</f>
        <v>2544.07</v>
      </c>
    </row>
    <row r="25" customFormat="false" ht="15" hidden="false" customHeight="false" outlineLevel="0" collapsed="false">
      <c r="A25" s="2" t="n">
        <v>1037</v>
      </c>
      <c r="B25" s="3" t="n">
        <v>45541</v>
      </c>
      <c r="C25" s="2" t="s">
        <v>11</v>
      </c>
      <c r="D25" s="2" t="s">
        <v>12</v>
      </c>
      <c r="E25" s="2" t="s">
        <v>22</v>
      </c>
      <c r="F25" s="4" t="n">
        <f aca="false">'Cleaned Data'!$F$26</f>
        <v>969.96</v>
      </c>
    </row>
    <row r="26" customFormat="false" ht="15" hidden="false" customHeight="false" outlineLevel="0" collapsed="false">
      <c r="A26" s="2" t="n">
        <v>1009</v>
      </c>
      <c r="B26" s="3" t="n">
        <v>45324</v>
      </c>
      <c r="C26" s="2" t="s">
        <v>9</v>
      </c>
      <c r="D26" s="2" t="s">
        <v>15</v>
      </c>
      <c r="E26" s="2" t="s">
        <v>19</v>
      </c>
      <c r="F26" s="4" t="n">
        <f aca="false">'Cleaned Data'!$F$27</f>
        <v>2057.18</v>
      </c>
    </row>
    <row r="27" customFormat="false" ht="15" hidden="false" customHeight="false" outlineLevel="0" collapsed="false">
      <c r="A27" s="2" t="n">
        <v>1030</v>
      </c>
      <c r="B27" s="3" t="n">
        <v>45492</v>
      </c>
      <c r="C27" s="2" t="s">
        <v>11</v>
      </c>
      <c r="D27" s="2" t="s">
        <v>12</v>
      </c>
      <c r="E27" s="2" t="s">
        <v>22</v>
      </c>
      <c r="F27" s="4" t="n">
        <f aca="false">'Cleaned Data'!$F$28</f>
        <v>355.43</v>
      </c>
    </row>
    <row r="28" customFormat="false" ht="15" hidden="false" customHeight="false" outlineLevel="0" collapsed="false">
      <c r="A28" s="2" t="n">
        <v>1008</v>
      </c>
      <c r="B28" s="3" t="n">
        <v>45619</v>
      </c>
      <c r="C28" s="2" t="s">
        <v>6</v>
      </c>
      <c r="D28" s="2" t="s">
        <v>20</v>
      </c>
      <c r="E28" s="2" t="s">
        <v>23</v>
      </c>
      <c r="F28" s="4" t="n">
        <f aca="false">'Cleaned Data'!$F$29</f>
        <v>1665.85</v>
      </c>
    </row>
    <row r="29" customFormat="false" ht="15" hidden="false" customHeight="false" outlineLevel="0" collapsed="false">
      <c r="A29" s="2" t="n">
        <v>1002</v>
      </c>
      <c r="B29" s="3" t="n">
        <v>45551</v>
      </c>
      <c r="C29" s="2" t="s">
        <v>6</v>
      </c>
      <c r="D29" s="2" t="s">
        <v>7</v>
      </c>
      <c r="E29" s="2" t="s">
        <v>8</v>
      </c>
      <c r="F29" s="4" t="n">
        <f aca="false">'Cleaned Data'!$F$30</f>
        <v>1329.25</v>
      </c>
    </row>
    <row r="30" customFormat="false" ht="15" hidden="false" customHeight="false" outlineLevel="0" collapsed="false">
      <c r="A30" s="2" t="n">
        <v>1003</v>
      </c>
      <c r="B30" s="3" t="n">
        <v>45327</v>
      </c>
      <c r="C30" s="2" t="s">
        <v>6</v>
      </c>
      <c r="D30" s="2" t="s">
        <v>7</v>
      </c>
      <c r="E30" s="2" t="s">
        <v>10</v>
      </c>
      <c r="F30" s="4" t="n">
        <f aca="false">'Cleaned Data'!$F$31</f>
        <v>1302.33</v>
      </c>
    </row>
    <row r="31" customFormat="false" ht="15" hidden="false" customHeight="false" outlineLevel="0" collapsed="false">
      <c r="A31" s="2" t="n">
        <v>1060</v>
      </c>
      <c r="B31" s="3" t="n">
        <v>45570</v>
      </c>
      <c r="C31" s="2" t="s">
        <v>11</v>
      </c>
      <c r="D31" s="2" t="s">
        <v>15</v>
      </c>
      <c r="E31" s="2" t="s">
        <v>17</v>
      </c>
      <c r="F31" s="4" t="n">
        <f aca="false">'Cleaned Data'!$F$32</f>
        <v>2734.55</v>
      </c>
    </row>
    <row r="32" customFormat="false" ht="15" hidden="false" customHeight="false" outlineLevel="0" collapsed="false">
      <c r="A32" s="2" t="n">
        <v>1051</v>
      </c>
      <c r="B32" s="3" t="n">
        <v>45621</v>
      </c>
      <c r="C32" s="2" t="s">
        <v>9</v>
      </c>
      <c r="D32" s="2" t="s">
        <v>7</v>
      </c>
      <c r="E32" s="2" t="s">
        <v>24</v>
      </c>
      <c r="F32" s="4" t="n">
        <f aca="false">'Cleaned Data'!$F$33</f>
        <v>2357.79</v>
      </c>
    </row>
    <row r="33" customFormat="false" ht="15" hidden="false" customHeight="false" outlineLevel="0" collapsed="false">
      <c r="A33" s="2" t="n">
        <v>1007</v>
      </c>
      <c r="B33" s="3" t="n">
        <v>45584</v>
      </c>
      <c r="C33" s="2" t="s">
        <v>14</v>
      </c>
      <c r="D33" s="2" t="s">
        <v>15</v>
      </c>
      <c r="E33" s="2" t="s">
        <v>17</v>
      </c>
      <c r="F33" s="4" t="n">
        <f aca="false">'Cleaned Data'!$F$34</f>
        <v>1765.72</v>
      </c>
    </row>
    <row r="34" customFormat="false" ht="15" hidden="false" customHeight="false" outlineLevel="0" collapsed="false">
      <c r="A34" s="2" t="n">
        <v>1004</v>
      </c>
      <c r="B34" s="3" t="n">
        <v>45581</v>
      </c>
      <c r="C34" s="2" t="s">
        <v>9</v>
      </c>
      <c r="D34" s="2" t="s">
        <v>15</v>
      </c>
      <c r="E34" s="2" t="s">
        <v>16</v>
      </c>
      <c r="F34" s="4" t="n">
        <f aca="false">'Cleaned Data'!$F$35</f>
        <v>1900.93</v>
      </c>
    </row>
    <row r="35" customFormat="false" ht="15" hidden="false" customHeight="false" outlineLevel="0" collapsed="false">
      <c r="A35" s="2" t="n">
        <v>1052</v>
      </c>
      <c r="B35" s="3" t="n">
        <v>45394</v>
      </c>
      <c r="C35" s="2" t="s">
        <v>11</v>
      </c>
      <c r="D35" s="2" t="s">
        <v>15</v>
      </c>
      <c r="E35" s="2" t="s">
        <v>19</v>
      </c>
      <c r="F35" s="4" t="n">
        <f aca="false">'Cleaned Data'!$F$36</f>
        <v>2377.95</v>
      </c>
    </row>
    <row r="36" customFormat="false" ht="15" hidden="false" customHeight="false" outlineLevel="0" collapsed="false">
      <c r="A36" s="2" t="n">
        <v>1068</v>
      </c>
      <c r="B36" s="3" t="n">
        <v>45550</v>
      </c>
      <c r="C36" s="2" t="s">
        <v>6</v>
      </c>
      <c r="D36" s="2" t="s">
        <v>20</v>
      </c>
      <c r="E36" s="2" t="s">
        <v>25</v>
      </c>
      <c r="F36" s="4" t="n">
        <f aca="false">'Cleaned Data'!$F$37</f>
        <v>1549.06</v>
      </c>
    </row>
    <row r="37" customFormat="false" ht="15" hidden="false" customHeight="false" outlineLevel="0" collapsed="false">
      <c r="A37" s="2" t="n">
        <v>1033</v>
      </c>
      <c r="B37" s="3" t="n">
        <v>45318</v>
      </c>
      <c r="C37" s="2" t="s">
        <v>9</v>
      </c>
      <c r="D37" s="2" t="s">
        <v>7</v>
      </c>
      <c r="E37" s="2" t="s">
        <v>10</v>
      </c>
      <c r="F37" s="4" t="n">
        <f aca="false">'Cleaned Data'!$F$38</f>
        <v>496.23</v>
      </c>
    </row>
    <row r="38" customFormat="false" ht="15" hidden="false" customHeight="false" outlineLevel="0" collapsed="false">
      <c r="A38" s="2" t="n">
        <v>1058</v>
      </c>
      <c r="B38" s="3" t="n">
        <v>45363</v>
      </c>
      <c r="C38" s="2" t="s">
        <v>11</v>
      </c>
      <c r="D38" s="2" t="s">
        <v>15</v>
      </c>
      <c r="E38" s="2" t="s">
        <v>17</v>
      </c>
      <c r="F38" s="4" t="n">
        <f aca="false">'Cleaned Data'!$F$39</f>
        <v>132.58</v>
      </c>
    </row>
    <row r="39" customFormat="false" ht="15" hidden="false" customHeight="false" outlineLevel="0" collapsed="false">
      <c r="A39" s="2" t="n">
        <v>1024</v>
      </c>
      <c r="B39" s="3" t="n">
        <v>45434</v>
      </c>
      <c r="C39" s="2" t="s">
        <v>6</v>
      </c>
      <c r="D39" s="2" t="s">
        <v>12</v>
      </c>
      <c r="E39" s="2" t="s">
        <v>13</v>
      </c>
      <c r="F39" s="4" t="n">
        <f aca="false">'Cleaned Data'!$F$40</f>
        <v>871.34</v>
      </c>
    </row>
    <row r="40" customFormat="false" ht="15" hidden="false" customHeight="false" outlineLevel="0" collapsed="false">
      <c r="A40" s="2" t="n">
        <v>1043</v>
      </c>
      <c r="B40" s="3" t="n">
        <v>45564</v>
      </c>
      <c r="C40" s="2" t="s">
        <v>14</v>
      </c>
      <c r="D40" s="2" t="s">
        <v>15</v>
      </c>
      <c r="E40" s="2" t="s">
        <v>16</v>
      </c>
      <c r="F40" s="4" t="n">
        <f aca="false">'Cleaned Data'!$F$41</f>
        <v>2443.96</v>
      </c>
    </row>
    <row r="41" customFormat="false" ht="15" hidden="false" customHeight="false" outlineLevel="0" collapsed="false">
      <c r="A41" s="2" t="n">
        <v>1064</v>
      </c>
      <c r="B41" s="3" t="n">
        <v>45353</v>
      </c>
      <c r="C41" s="2" t="s">
        <v>9</v>
      </c>
      <c r="D41" s="2" t="s">
        <v>20</v>
      </c>
      <c r="E41" s="2" t="s">
        <v>21</v>
      </c>
      <c r="F41" s="4" t="n">
        <f aca="false">'Cleaned Data'!$F$42</f>
        <v>1579.13</v>
      </c>
    </row>
    <row r="42" customFormat="false" ht="15" hidden="false" customHeight="false" outlineLevel="0" collapsed="false">
      <c r="A42" s="2" t="n">
        <v>1029</v>
      </c>
      <c r="B42" s="3" t="n">
        <v>45555</v>
      </c>
      <c r="C42" s="2" t="s">
        <v>9</v>
      </c>
      <c r="D42" s="2" t="s">
        <v>12</v>
      </c>
      <c r="E42" s="2" t="s">
        <v>13</v>
      </c>
      <c r="F42" s="4" t="n">
        <f aca="false">'Cleaned Data'!$F$43</f>
        <v>2403.73</v>
      </c>
    </row>
    <row r="43" customFormat="false" ht="15" hidden="false" customHeight="false" outlineLevel="0" collapsed="false">
      <c r="A43" s="2" t="n">
        <v>1035</v>
      </c>
      <c r="B43" s="3" t="n">
        <v>45606</v>
      </c>
      <c r="C43" s="2" t="s">
        <v>11</v>
      </c>
      <c r="D43" s="2" t="s">
        <v>15</v>
      </c>
      <c r="E43" s="2" t="s">
        <v>16</v>
      </c>
      <c r="F43" s="4" t="n">
        <f aca="false">'Cleaned Data'!$F$44</f>
        <v>794.16</v>
      </c>
    </row>
    <row r="44" customFormat="false" ht="15" hidden="false" customHeight="false" outlineLevel="0" collapsed="false">
      <c r="A44" s="2" t="n">
        <v>1050</v>
      </c>
      <c r="B44" s="3" t="n">
        <v>45604</v>
      </c>
      <c r="C44" s="2" t="s">
        <v>9</v>
      </c>
      <c r="D44" s="2" t="s">
        <v>12</v>
      </c>
      <c r="E44" s="2" t="s">
        <v>13</v>
      </c>
      <c r="F44" s="4" t="n">
        <f aca="false">'Cleaned Data'!$F$45</f>
        <v>1262.55066666667</v>
      </c>
    </row>
    <row r="45" customFormat="false" ht="15" hidden="false" customHeight="false" outlineLevel="0" collapsed="false">
      <c r="A45" s="2" t="n">
        <v>1001</v>
      </c>
      <c r="B45" s="3" t="n">
        <v>45566</v>
      </c>
      <c r="C45" s="2" t="s">
        <v>9</v>
      </c>
      <c r="D45" s="2" t="s">
        <v>20</v>
      </c>
      <c r="E45" s="2" t="s">
        <v>21</v>
      </c>
      <c r="F45" s="4" t="n">
        <f aca="false">'Cleaned Data'!$F$46</f>
        <v>221.1</v>
      </c>
    </row>
    <row r="46" customFormat="false" ht="15" hidden="false" customHeight="false" outlineLevel="0" collapsed="false">
      <c r="A46" s="2" t="n">
        <v>1023</v>
      </c>
      <c r="B46" s="3" t="n">
        <v>45546</v>
      </c>
      <c r="C46" s="2" t="s">
        <v>9</v>
      </c>
      <c r="D46" s="2" t="s">
        <v>15</v>
      </c>
      <c r="E46" s="2" t="s">
        <v>19</v>
      </c>
      <c r="F46" s="4" t="n">
        <f aca="false">'Cleaned Data'!$F$47</f>
        <v>1234.85</v>
      </c>
    </row>
    <row r="47" customFormat="false" ht="15" hidden="false" customHeight="false" outlineLevel="0" collapsed="false">
      <c r="A47" s="2" t="n">
        <v>1005</v>
      </c>
      <c r="B47" s="3" t="n">
        <v>45323</v>
      </c>
      <c r="C47" s="2" t="s">
        <v>11</v>
      </c>
      <c r="D47" s="2" t="s">
        <v>7</v>
      </c>
      <c r="E47" s="2" t="s">
        <v>8</v>
      </c>
      <c r="F47" s="4" t="n">
        <f aca="false">'Cleaned Data'!$F$48</f>
        <v>187.42</v>
      </c>
    </row>
    <row r="48" customFormat="false" ht="15" hidden="false" customHeight="false" outlineLevel="0" collapsed="false">
      <c r="A48" s="2" t="n">
        <v>1020</v>
      </c>
      <c r="B48" s="3" t="n">
        <v>45634</v>
      </c>
      <c r="C48" s="2" t="s">
        <v>14</v>
      </c>
      <c r="D48" s="2" t="s">
        <v>7</v>
      </c>
      <c r="E48" s="2" t="s">
        <v>24</v>
      </c>
      <c r="F48" s="4" t="n">
        <f aca="false">'Cleaned Data'!$F$49</f>
        <v>1098.62</v>
      </c>
    </row>
    <row r="49" customFormat="false" ht="15" hidden="false" customHeight="false" outlineLevel="0" collapsed="false">
      <c r="A49" s="2" t="n">
        <v>1022</v>
      </c>
      <c r="B49" s="3" t="n">
        <v>45439</v>
      </c>
      <c r="C49" s="2" t="s">
        <v>6</v>
      </c>
      <c r="D49" s="2" t="s">
        <v>15</v>
      </c>
      <c r="E49" s="2" t="s">
        <v>19</v>
      </c>
      <c r="F49" s="4" t="n">
        <f aca="false">'Cleaned Data'!$F$50</f>
        <v>1203.3</v>
      </c>
    </row>
    <row r="50" customFormat="false" ht="15" hidden="false" customHeight="false" outlineLevel="0" collapsed="false">
      <c r="A50" s="2" t="n">
        <v>1063</v>
      </c>
      <c r="B50" s="3" t="n">
        <v>45368</v>
      </c>
      <c r="C50" s="2" t="s">
        <v>6</v>
      </c>
      <c r="D50" s="2" t="s">
        <v>15</v>
      </c>
      <c r="E50" s="2" t="s">
        <v>19</v>
      </c>
      <c r="F50" s="4" t="n">
        <f aca="false">'Cleaned Data'!$F$51</f>
        <v>1876.35</v>
      </c>
    </row>
    <row r="51" customFormat="false" ht="15" hidden="false" customHeight="false" outlineLevel="0" collapsed="false">
      <c r="A51" s="2" t="n">
        <v>1026</v>
      </c>
      <c r="B51" s="3" t="n">
        <v>45382</v>
      </c>
      <c r="C51" s="2" t="s">
        <v>6</v>
      </c>
      <c r="D51" s="2" t="s">
        <v>15</v>
      </c>
      <c r="E51" s="2" t="s">
        <v>16</v>
      </c>
      <c r="F51" s="4" t="n">
        <f aca="false">'Cleaned Data'!$F$52</f>
        <v>738.34</v>
      </c>
    </row>
    <row r="52" customFormat="false" ht="15" hidden="false" customHeight="false" outlineLevel="0" collapsed="false">
      <c r="A52" s="2" t="n">
        <v>1021</v>
      </c>
      <c r="B52" s="3" t="n">
        <v>45604</v>
      </c>
      <c r="C52" s="2" t="s">
        <v>9</v>
      </c>
      <c r="D52" s="2" t="s">
        <v>12</v>
      </c>
      <c r="E52" s="2" t="s">
        <v>18</v>
      </c>
      <c r="F52" s="4" t="n">
        <f aca="false">'Cleaned Data'!$F$53</f>
        <v>693.71</v>
      </c>
    </row>
    <row r="53" customFormat="false" ht="15" hidden="false" customHeight="false" outlineLevel="0" collapsed="false">
      <c r="A53" s="2" t="n">
        <v>1062</v>
      </c>
      <c r="B53" s="3" t="n">
        <v>45369</v>
      </c>
      <c r="C53" s="2" t="s">
        <v>9</v>
      </c>
      <c r="D53" s="2" t="s">
        <v>12</v>
      </c>
      <c r="E53" s="2" t="s">
        <v>18</v>
      </c>
      <c r="F53" s="4" t="n">
        <f aca="false">'Cleaned Data'!$F$54</f>
        <v>1845.24</v>
      </c>
    </row>
    <row r="54" customFormat="false" ht="15" hidden="false" customHeight="false" outlineLevel="0" collapsed="false">
      <c r="A54" s="2" t="n">
        <v>1067</v>
      </c>
      <c r="B54" s="3" t="n">
        <v>45579</v>
      </c>
      <c r="C54" s="2" t="s">
        <v>9</v>
      </c>
      <c r="D54" s="2" t="s">
        <v>7</v>
      </c>
      <c r="E54" s="2" t="s">
        <v>24</v>
      </c>
      <c r="F54" s="4" t="n">
        <f aca="false">'Cleaned Data'!$F$55</f>
        <v>1010.56</v>
      </c>
    </row>
    <row r="55" customFormat="false" ht="15" hidden="false" customHeight="false" outlineLevel="0" collapsed="false">
      <c r="A55" s="2" t="n">
        <v>1045</v>
      </c>
      <c r="B55" s="3" t="n">
        <v>45394</v>
      </c>
      <c r="C55" s="2" t="s">
        <v>11</v>
      </c>
      <c r="D55" s="2" t="s">
        <v>20</v>
      </c>
      <c r="E55" s="2" t="s">
        <v>21</v>
      </c>
      <c r="F55" s="4" t="n">
        <f aca="false">'Cleaned Data'!$F$56</f>
        <v>135.49</v>
      </c>
    </row>
    <row r="56" customFormat="false" ht="15" hidden="false" customHeight="false" outlineLevel="0" collapsed="false">
      <c r="A56" s="2" t="n">
        <v>1065</v>
      </c>
      <c r="B56" s="3" t="n">
        <v>45576</v>
      </c>
      <c r="C56" s="2" t="s">
        <v>11</v>
      </c>
      <c r="D56" s="2" t="s">
        <v>7</v>
      </c>
      <c r="E56" s="2" t="s">
        <v>10</v>
      </c>
      <c r="F56" s="4" t="n">
        <f aca="false">'Cleaned Data'!$F$57</f>
        <v>217.63</v>
      </c>
    </row>
    <row r="57" customFormat="false" ht="15" hidden="false" customHeight="false" outlineLevel="0" collapsed="false">
      <c r="A57" s="2" t="n">
        <v>1014</v>
      </c>
      <c r="B57" s="3" t="n">
        <v>45352</v>
      </c>
      <c r="C57" s="2" t="s">
        <v>11</v>
      </c>
      <c r="D57" s="2" t="s">
        <v>15</v>
      </c>
      <c r="E57" s="2" t="s">
        <v>19</v>
      </c>
      <c r="F57" s="4" t="n">
        <f aca="false">'Cleaned Data'!$F$58</f>
        <v>498.35</v>
      </c>
    </row>
    <row r="58" customFormat="false" ht="15" hidden="false" customHeight="false" outlineLevel="0" collapsed="false">
      <c r="A58" s="2" t="n">
        <v>1053</v>
      </c>
      <c r="B58" s="3" t="n">
        <v>45462</v>
      </c>
      <c r="C58" s="2" t="s">
        <v>9</v>
      </c>
      <c r="D58" s="2" t="s">
        <v>12</v>
      </c>
      <c r="E58" s="2" t="s">
        <v>22</v>
      </c>
      <c r="F58" s="4" t="n">
        <f aca="false">'Cleaned Data'!$F$59</f>
        <v>1262.55066666667</v>
      </c>
    </row>
    <row r="59" customFormat="false" ht="15" hidden="false" customHeight="false" outlineLevel="0" collapsed="false">
      <c r="A59" s="2" t="n">
        <v>1042</v>
      </c>
      <c r="B59" s="3" t="n">
        <v>45557</v>
      </c>
      <c r="C59" s="2" t="s">
        <v>14</v>
      </c>
      <c r="D59" s="2" t="s">
        <v>15</v>
      </c>
      <c r="E59" s="2" t="s">
        <v>19</v>
      </c>
      <c r="F59" s="4" t="n">
        <f aca="false">'Cleaned Data'!$F$60</f>
        <v>2327.22</v>
      </c>
    </row>
    <row r="60" customFormat="false" ht="15" hidden="false" customHeight="false" outlineLevel="0" collapsed="false">
      <c r="A60" s="2" t="n">
        <v>1010</v>
      </c>
      <c r="B60" s="3" t="n">
        <v>45510</v>
      </c>
      <c r="C60" s="2" t="s">
        <v>14</v>
      </c>
      <c r="D60" s="2" t="s">
        <v>12</v>
      </c>
      <c r="E60" s="2" t="s">
        <v>13</v>
      </c>
      <c r="F60" s="4" t="n">
        <f aca="false">'Cleaned Data'!$F$61</f>
        <v>2774.15</v>
      </c>
    </row>
    <row r="61" customFormat="false" ht="15" hidden="false" customHeight="false" outlineLevel="0" collapsed="false">
      <c r="A61" s="2" t="n">
        <v>1031</v>
      </c>
      <c r="B61" s="3" t="n">
        <v>45616</v>
      </c>
      <c r="C61" s="2" t="s">
        <v>11</v>
      </c>
      <c r="D61" s="2" t="s">
        <v>7</v>
      </c>
      <c r="E61" s="2" t="s">
        <v>8</v>
      </c>
      <c r="F61" s="4" t="n">
        <f aca="false">'Cleaned Data'!$F$62</f>
        <v>248.68</v>
      </c>
    </row>
    <row r="62" customFormat="false" ht="15" hidden="false" customHeight="false" outlineLevel="0" collapsed="false">
      <c r="A62" s="2" t="n">
        <v>1025</v>
      </c>
      <c r="B62" s="3" t="n">
        <v>45504</v>
      </c>
      <c r="C62" s="2" t="s">
        <v>14</v>
      </c>
      <c r="D62" s="2" t="s">
        <v>12</v>
      </c>
      <c r="E62" s="2" t="s">
        <v>18</v>
      </c>
      <c r="F62" s="4" t="n">
        <f aca="false">'Cleaned Data'!$F$63</f>
        <v>1262.55066666667</v>
      </c>
    </row>
    <row r="63" customFormat="false" ht="15" hidden="false" customHeight="false" outlineLevel="0" collapsed="false">
      <c r="A63" s="2" t="n">
        <v>1012</v>
      </c>
      <c r="B63" s="3" t="n">
        <v>45416</v>
      </c>
      <c r="C63" s="2" t="s">
        <v>9</v>
      </c>
      <c r="D63" s="2" t="s">
        <v>20</v>
      </c>
      <c r="E63" s="2" t="s">
        <v>21</v>
      </c>
      <c r="F63" s="4" t="n">
        <f aca="false">'Cleaned Data'!$F$64</f>
        <v>1510.59</v>
      </c>
    </row>
    <row r="64" customFormat="false" ht="15" hidden="false" customHeight="false" outlineLevel="0" collapsed="false">
      <c r="A64" s="2" t="n">
        <v>1028</v>
      </c>
      <c r="B64" s="3" t="n">
        <v>45506</v>
      </c>
      <c r="C64" s="2" t="s">
        <v>14</v>
      </c>
      <c r="D64" s="2" t="s">
        <v>20</v>
      </c>
      <c r="E64" s="2" t="s">
        <v>23</v>
      </c>
      <c r="F64" s="4" t="n">
        <f aca="false">'Cleaned Data'!$F$65</f>
        <v>2086.96</v>
      </c>
    </row>
    <row r="65" customFormat="false" ht="15" hidden="false" customHeight="false" outlineLevel="0" collapsed="false">
      <c r="A65" s="2" t="n">
        <v>1059</v>
      </c>
      <c r="B65" s="3" t="n">
        <v>45400</v>
      </c>
      <c r="C65" s="2" t="s">
        <v>14</v>
      </c>
      <c r="D65" s="2" t="s">
        <v>15</v>
      </c>
      <c r="E65" s="2" t="s">
        <v>16</v>
      </c>
      <c r="F65" s="4" t="n">
        <f aca="false">'Cleaned Data'!$F$66</f>
        <v>1011.67</v>
      </c>
    </row>
    <row r="66" customFormat="false" ht="15" hidden="false" customHeight="false" outlineLevel="0" collapsed="false">
      <c r="A66" s="2" t="n">
        <v>1017</v>
      </c>
      <c r="B66" s="3" t="n">
        <v>45546</v>
      </c>
      <c r="C66" s="2" t="s">
        <v>11</v>
      </c>
      <c r="D66" s="2" t="s">
        <v>7</v>
      </c>
      <c r="E66" s="2" t="s">
        <v>8</v>
      </c>
      <c r="F66" s="4" t="n">
        <f aca="false">'Cleaned Data'!$F$67</f>
        <v>1424.60214285714</v>
      </c>
    </row>
    <row r="67" customFormat="false" ht="15" hidden="false" customHeight="false" outlineLevel="0" collapsed="false">
      <c r="A67" s="2" t="n">
        <v>1032</v>
      </c>
      <c r="B67" s="3" t="n">
        <v>45398</v>
      </c>
      <c r="C67" s="2" t="s">
        <v>11</v>
      </c>
      <c r="D67" s="2" t="s">
        <v>15</v>
      </c>
      <c r="E67" s="2" t="s">
        <v>17</v>
      </c>
      <c r="F67" s="4" t="n">
        <f aca="false">'Cleaned Data'!$F$68</f>
        <v>1053.16</v>
      </c>
    </row>
    <row r="68" customFormat="false" ht="15" hidden="false" customHeight="false" outlineLevel="0" collapsed="false">
      <c r="A68" s="2" t="n">
        <v>1018</v>
      </c>
      <c r="B68" s="3" t="n">
        <v>45534</v>
      </c>
      <c r="C68" s="2" t="s">
        <v>9</v>
      </c>
      <c r="D68" s="2" t="s">
        <v>7</v>
      </c>
      <c r="E68" s="2" t="s">
        <v>10</v>
      </c>
      <c r="F68" s="4" t="n">
        <f aca="false">'Cleaned Data'!$F$69</f>
        <v>2119.4</v>
      </c>
    </row>
    <row r="69" customFormat="false" ht="15" hidden="false" customHeight="false" outlineLevel="0" collapsed="false">
      <c r="A69" s="2" t="n">
        <v>1046</v>
      </c>
      <c r="B69" s="3" t="n">
        <v>45306</v>
      </c>
      <c r="C69" s="2" t="s">
        <v>14</v>
      </c>
      <c r="D69" s="2" t="s">
        <v>12</v>
      </c>
      <c r="E69" s="2" t="s">
        <v>22</v>
      </c>
      <c r="F69" s="4" t="n">
        <f aca="false">'Cleaned Data'!$F$70</f>
        <v>621.25</v>
      </c>
    </row>
    <row r="70" customFormat="false" ht="15" hidden="false" customHeight="false" outlineLevel="0" collapsed="false">
      <c r="A70" s="2" t="n">
        <v>1019</v>
      </c>
      <c r="B70" s="3" t="n">
        <v>45623</v>
      </c>
      <c r="C70" s="2" t="s">
        <v>11</v>
      </c>
      <c r="D70" s="2" t="s">
        <v>20</v>
      </c>
      <c r="E70" s="2" t="s">
        <v>21</v>
      </c>
      <c r="F70" s="4" t="n">
        <f aca="false">'Cleaned Data'!$F$71</f>
        <v>1188.08</v>
      </c>
    </row>
    <row r="71" customFormat="false" ht="15" hidden="false" customHeight="false" outlineLevel="0" collapsed="false">
      <c r="A71" s="2" t="n">
        <v>1015</v>
      </c>
      <c r="B71" s="3" t="n">
        <v>45542</v>
      </c>
      <c r="C71" s="2" t="s">
        <v>11</v>
      </c>
      <c r="D71" s="2" t="s">
        <v>7</v>
      </c>
      <c r="E71" s="2" t="s">
        <v>10</v>
      </c>
      <c r="F71" s="4" t="n">
        <f aca="false">'Cleaned Data'!$F$72</f>
        <v>1424.60214285714</v>
      </c>
    </row>
    <row r="72" customFormat="false" ht="15" hidden="false" customHeight="false" outlineLevel="0" collapsed="false">
      <c r="A72" s="2" t="n">
        <v>1038</v>
      </c>
      <c r="B72" s="3" t="n">
        <v>45365</v>
      </c>
      <c r="C72" s="2" t="s">
        <v>9</v>
      </c>
      <c r="D72" s="2" t="s">
        <v>20</v>
      </c>
      <c r="E72" s="2" t="s">
        <v>21</v>
      </c>
      <c r="F72" s="4" t="n">
        <f aca="false">'Cleaned Data'!$F$73</f>
        <v>831.03</v>
      </c>
    </row>
    <row r="73" customFormat="false" ht="15" hidden="false" customHeight="false" outlineLevel="0" collapsed="false">
      <c r="A73" s="2" t="n">
        <v>1027</v>
      </c>
      <c r="B73" s="3" t="n">
        <v>45540</v>
      </c>
      <c r="C73" s="2" t="s">
        <v>6</v>
      </c>
      <c r="D73" s="2" t="s">
        <v>20</v>
      </c>
      <c r="E73" s="2" t="s">
        <v>25</v>
      </c>
      <c r="F73" s="4" t="n">
        <f aca="false">'Cleaned Data'!$F$74</f>
        <v>62.08</v>
      </c>
    </row>
  </sheetData>
  <conditionalFormatting sqref="F4:F73">
    <cfRule type="expression" priority="2" aboveAverage="0" equalAverage="0" bottom="0" percent="0" rank="0" text="" dxfId="0">
      <formula>$F4&gt;=LARGE($F$4:$F$73,10)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</cols>
  <sheetData>
    <row r="1" customFormat="false" ht="15" hidden="false" customHeight="false" outlineLevel="0" collapsed="false">
      <c r="A1" s="5" t="s">
        <v>44</v>
      </c>
    </row>
    <row r="3" customFormat="false" ht="15" hidden="false" customHeight="false" outlineLevel="0" collapsed="false">
      <c r="A3" s="1" t="s">
        <v>3</v>
      </c>
      <c r="B3" s="1" t="s">
        <v>45</v>
      </c>
    </row>
    <row r="4" customFormat="false" ht="15" hidden="false" customHeight="false" outlineLevel="0" collapsed="false">
      <c r="A4" s="2" t="s">
        <v>7</v>
      </c>
      <c r="B4" s="4" t="n">
        <f aca="false">SUMIFS('Cleaned Data'!$F$5:$F$74,'Cleaned Data'!$D$5:$D$74,A4)</f>
        <v>24218.2364285714</v>
      </c>
    </row>
    <row r="5" customFormat="false" ht="15" hidden="false" customHeight="false" outlineLevel="0" collapsed="false">
      <c r="A5" s="2" t="s">
        <v>15</v>
      </c>
      <c r="B5" s="4" t="n">
        <f aca="false">SUMIFS('Cleaned Data'!$F$5:$F$74,'Cleaned Data'!$D$5:$D$74,A5)</f>
        <v>34811.78</v>
      </c>
    </row>
    <row r="6" customFormat="false" ht="15" hidden="false" customHeight="false" outlineLevel="0" collapsed="false">
      <c r="A6" s="2" t="s">
        <v>20</v>
      </c>
      <c r="B6" s="4" t="n">
        <f aca="false">SUMIFS('Cleaned Data'!$F$5:$F$74,'Cleaned Data'!$D$5:$D$74,A6)</f>
        <v>17537.55</v>
      </c>
    </row>
    <row r="7" customFormat="false" ht="15" hidden="false" customHeight="false" outlineLevel="0" collapsed="false">
      <c r="A7" s="2" t="s">
        <v>12</v>
      </c>
      <c r="B7" s="4" t="n">
        <f aca="false">SUMIFS('Cleaned Data'!$F$5:$F$74,'Cleaned Data'!$D$5:$D$74,A7)</f>
        <v>22370.482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2026-09-22T13:28:43Z</dcterms:created>
  <dc:creator>openpyxl</dc:creator>
  <dc:description/>
  <dc:language>en-US</dc:language>
  <cp:lastModifiedBy/>
  <dcterms:modified xsi:type="dcterms:W3CDTF">2026-09-22T13:28:48Z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